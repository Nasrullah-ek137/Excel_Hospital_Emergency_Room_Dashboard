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dell\OneDrive\Desktop\Excel\ExcelProject\"/>
    </mc:Choice>
  </mc:AlternateContent>
  <xr:revisionPtr revIDLastSave="0" documentId="13_ncr:1_{AABE045C-4C8A-4878-938F-0F7F69532B37}" xr6:coauthVersionLast="47" xr6:coauthVersionMax="47" xr10:uidLastSave="{00000000-0000-0000-0000-000000000000}"/>
  <bookViews>
    <workbookView xWindow="-120" yWindow="-120" windowWidth="20730" windowHeight="11160" activeTab="1" xr2:uid="{73AEE3A6-9715-404C-8A8E-4E5CE683B9A7}"/>
  </bookViews>
  <sheets>
    <sheet name="Kpi" sheetId="1" r:id="rId1"/>
    <sheet name="Dashboard" sheetId="2" r:id="rId2"/>
  </sheets>
  <definedNames>
    <definedName name="Slicer_Column1__Month">#N/A</definedName>
    <definedName name="Slicer_Column1__Year">#N/A</definedName>
  </definedNames>
  <calcPr calcId="191029"/>
  <pivotCaches>
    <pivotCache cacheId="51" r:id="rId3"/>
    <pivotCache cacheId="54" r:id="rId4"/>
    <pivotCache cacheId="57" r:id="rId5"/>
    <pivotCache cacheId="60" r:id="rId6"/>
    <pivotCache cacheId="63" r:id="rId7"/>
    <pivotCache cacheId="66" r:id="rId8"/>
    <pivotCache cacheId="69" r:id="rId9"/>
    <pivotCache cacheId="72" r:id="rId10"/>
    <pivotCache cacheId="75" r:id="rId11"/>
    <pivotCache cacheId="78" r:id="rId12"/>
    <pivotCache cacheId="81" r:id="rId13"/>
    <pivotCache cacheId="84"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EmergencyRoomData_Converted_v2_fa8a2220-d1dc-4ab9-9f07-112f56cd2ba8" name="HospitalEmergencyRoomData_Converted_v2" connection="Query - HospitalEmergencyRoomData_Converted_v2"/>
          <x15:modelTable id="Calander_04557c9d-da86-4c93-9e98-668a8a03cf6d" name="Calander" connection="Query - Calander"/>
        </x15:modelTables>
        <x15:modelRelationships>
          <x15:modelRelationship fromTable="HospitalEmergencyRoomData_Converted_v2" fromColumn="Patient Admission Date" toTable="Calander" toColumn="Column1"/>
        </x15:modelRelationships>
        <x15:extLst>
          <ext xmlns:x16="http://schemas.microsoft.com/office/spreadsheetml/2014/11/main" uri="{9835A34E-60A6-4A7C-AAB8-D5F71C897F49}">
            <x16:modelTimeGroupings>
              <x16:modelTimeGrouping tableName="Calander"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9" i="1" l="1"/>
  <c r="C119" i="1"/>
  <c r="A119" i="1"/>
  <c r="B118" i="1"/>
  <c r="C118" i="1"/>
  <c r="A118" i="1"/>
  <c r="C3" i="1"/>
  <c r="E3" i="1"/>
  <c r="A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A8D054-A55D-43E1-B384-533108745292}" name="Query - Calander" description="Connection to the 'Calander' query in the workbook." type="100" refreshedVersion="8" minRefreshableVersion="5">
    <extLst>
      <ext xmlns:x15="http://schemas.microsoft.com/office/spreadsheetml/2010/11/main" uri="{DE250136-89BD-433C-8126-D09CA5730AF9}">
        <x15:connection id="62f9a8c2-d817-4738-8d47-28c17d95da71"/>
      </ext>
    </extLst>
  </connection>
  <connection id="2" xr16:uid="{8B7C8509-2DCA-4B78-94BB-007B9B199311}" name="Query - HospitalEmergencyRoomData_Converted_v2" description="Connection to the 'HospitalEmergencyRoomData_Converted_v2' query in the workbook." type="100" refreshedVersion="8" minRefreshableVersion="5">
    <extLst>
      <ext xmlns:x15="http://schemas.microsoft.com/office/spreadsheetml/2010/11/main" uri="{DE250136-89BD-433C-8126-D09CA5730AF9}">
        <x15:connection id="fc38bec0-5695-4ecb-9f4f-1cea6c9a5312">
          <x15:oledbPr connection="Provider=Microsoft.Mashup.OleDb.1;Data Source=$Workbook$;Location=HospitalEmergencyRoomData_Converted_v2;Extended Properties=&quot;&quot;">
            <x15:dbTables>
              <x15:dbTable name="HospitalEmergencyRoomData_Converted_v2"/>
            </x15:dbTables>
          </x15:oledbPr>
        </x15:connection>
      </ext>
    </extLst>
  </connection>
  <connection id="3" xr16:uid="{482CC4FC-D383-4026-80CC-8C192CE120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<sst xmlns="http://schemas.openxmlformats.org/spreadsheetml/2006/main" count="148" uniqueCount="67">
  <si>
    <t>Row Labels</t>
  </si>
  <si>
    <t>Grand Total</t>
  </si>
  <si>
    <t>Distinct Count of Patient Id</t>
  </si>
  <si>
    <t>Average of Patient Waittime</t>
  </si>
  <si>
    <t>Average of Patient Satisfaction Score</t>
  </si>
  <si>
    <t>2024</t>
  </si>
  <si>
    <t>Admitted</t>
  </si>
  <si>
    <t>Not Admitted</t>
  </si>
  <si>
    <t>Count of Patient Admission Flag</t>
  </si>
  <si>
    <t>Count of Patient Admission Flag2</t>
  </si>
  <si>
    <t>Admission Status</t>
  </si>
  <si>
    <t>No. of Patients</t>
  </si>
  <si>
    <t>% Status</t>
  </si>
  <si>
    <t>0-09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</si>
  <si>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</si>
  <si>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</si>
  <si>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</si>
  <si>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</si>
  <si>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</si>
  <si>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</si>
  <si>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</si>
  <si>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</si>
  <si>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</si>
  <si>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</si>
  <si>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</si>
  <si>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</si>
  <si>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</si>
  <si>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</si>
  <si>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</si>
  <si>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</si>
  <si>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</si>
  <si>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</si>
  <si>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Orthopedics</t>
  </si>
  <si>
    <t>Physiotherapy</t>
  </si>
  <si>
    <t>Renal</t>
  </si>
  <si>
    <t>Count of Department Referral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</si>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</sst>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3" tint="0.39997558519241921"/>
        <bgColor indexed="64"/>
      </patternFill>
    </fill>
    <fill>
      <patternFill patternType="solid">
        <fgColor theme="4" tint="0.39997558519241921"/>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applyAlignment="1">
      <alignment horizontal="center" vertical="center"/>
    </xf>
    <xf numFmtId="0" fontId="0" fillId="2" borderId="0" xfId="0" applyFill="1"/>
    <xf numFmtId="10" fontId="0" fillId="0" borderId="0" xfId="0" applyNumberFormat="1"/>
    <xf numFmtId="0" fontId="0" fillId="0" borderId="0" xfId="0" applyAlignment="1">
      <alignment vertical="top"/>
    </xf>
    <xf numFmtId="0" fontId="0" fillId="0" borderId="0" xfId="0" pivotButton="1" applyAlignment="1">
      <alignment vertical="top"/>
    </xf>
    <xf numFmtId="2" fontId="0" fillId="0" borderId="0" xfId="0" applyNumberFormat="1" applyAlignment="1">
      <alignment horizontal="left"/>
    </xf>
    <xf numFmtId="0" fontId="0" fillId="4" borderId="0" xfId="0" applyFill="1" applyAlignment="1">
      <alignment horizontal="left"/>
    </xf>
    <xf numFmtId="9" fontId="0" fillId="4" borderId="0" xfId="1" applyFont="1" applyFill="1" applyAlignment="1">
      <alignment horizontal="center"/>
    </xf>
    <xf numFmtId="0" fontId="2" fillId="3" borderId="0" xfId="0" applyFont="1" applyFill="1" applyAlignment="1">
      <alignment horizontal="center" vertical="center"/>
    </xf>
    <xf numFmtId="0" fontId="0" fillId="4" borderId="0" xfId="0" applyFill="1" applyAlignment="1">
      <alignment horizontal="center" vertical="top"/>
    </xf>
    <xf numFmtId="0" fontId="0" fillId="4" borderId="0" xfId="0" applyFill="1" applyAlignment="1">
      <alignment horizontal="center"/>
    </xf>
    <xf numFmtId="0" fontId="2" fillId="3" borderId="0" xfId="0" applyFont="1" applyFill="1" applyAlignment="1">
      <alignment horizontal="center" vertical="top"/>
    </xf>
    <xf numFmtId="1" fontId="0" fillId="0" borderId="0" xfId="0" applyNumberFormat="1"/>
    <xf numFmtId="0" fontId="0" fillId="0" borderId="0" xfId="0" applyNumberFormat="1" applyAlignment="1">
      <alignment vertical="top"/>
    </xf>
  </cellXfs>
  <cellStyles count="2">
    <cellStyle name="Normal" xfId="0" builtinId="0"/>
    <cellStyle name="Percent" xfId="1" builtinId="5"/>
  </cellStyles>
  <dxfs count="152">
    <dxf>
      <numFmt numFmtId="1" formatCode="0"/>
    </dxf>
    <dxf>
      <numFmt numFmtId="1" formatCode="0"/>
    </dxf>
    <dxf>
      <numFmt numFmtId="1" formatCode="0"/>
    </dxf>
    <dxf>
      <numFmt numFmtId="1" formatCode="0"/>
    </dxf>
    <dxf>
      <numFmt numFmtId="1" formatCode="0"/>
    </dxf>
    <dxf>
      <numFmt numFmtId="2" formatCode="0.00"/>
    </dxf>
    <dxf>
      <numFmt numFmtId="14" formatCode="0.00%"/>
    </dxf>
    <dxf>
      <alignment vertical="top"/>
    </dxf>
    <dxf>
      <alignment vertical="top"/>
    </dxf>
    <dxf>
      <alignment vertical="top"/>
    </dxf>
    <dxf>
      <alignment horizontal="general"/>
    </dxf>
    <dxf>
      <alignment horizontal="general"/>
    </dxf>
    <dxf>
      <alignment horizontal="general"/>
    </dxf>
    <dxf>
      <alignment horizontal="left"/>
    </dxf>
    <dxf>
      <alignment horizontal="left"/>
    </dxf>
    <dxf>
      <numFmt numFmtId="2" formatCode="0.00"/>
    </dxf>
    <dxf>
      <alignment vertical="top"/>
    </dxf>
    <dxf>
      <alignment vertical="top"/>
    </dxf>
    <dxf>
      <alignment vertical="top"/>
    </dxf>
    <dxf>
      <alignment horizontal="general"/>
    </dxf>
    <dxf>
      <alignment horizontal="general"/>
    </dxf>
    <dxf>
      <alignment horizontal="general"/>
    </dxf>
    <dxf>
      <alignment horizontal="left"/>
    </dxf>
    <dxf>
      <alignment horizontal="left"/>
    </dxf>
    <dxf>
      <numFmt numFmtId="2" formatCode="0.00"/>
    </dxf>
    <dxf>
      <alignment vertical="top"/>
    </dxf>
    <dxf>
      <alignment vertical="top"/>
    </dxf>
    <dxf>
      <alignment vertical="top"/>
    </dxf>
    <dxf>
      <alignment horizontal="general"/>
    </dxf>
    <dxf>
      <alignment horizontal="general"/>
    </dxf>
    <dxf>
      <alignment horizontal="general"/>
    </dxf>
    <dxf>
      <alignment horizontal="left"/>
    </dxf>
    <dxf>
      <alignment horizontal="left"/>
    </dxf>
    <dxf>
      <numFmt numFmtId="2" formatCode="0.00"/>
    </dxf>
    <dxf>
      <numFmt numFmtId="2" formatCode="0.00"/>
    </dxf>
    <dxf>
      <alignment vertical="top"/>
    </dxf>
    <dxf>
      <alignment vertical="top"/>
    </dxf>
    <dxf>
      <alignment vertical="top"/>
    </dxf>
    <dxf>
      <alignment horizontal="general"/>
    </dxf>
    <dxf>
      <alignment horizontal="general"/>
    </dxf>
    <dxf>
      <alignment horizontal="general"/>
    </dxf>
    <dxf>
      <numFmt numFmtId="2" formatCode="0.00"/>
    </dxf>
    <dxf>
      <alignment vertical="top"/>
    </dxf>
    <dxf>
      <alignment vertical="top"/>
    </dxf>
    <dxf>
      <alignment vertical="top"/>
    </dxf>
    <dxf>
      <alignment horizontal="general"/>
    </dxf>
    <dxf>
      <alignment horizontal="general"/>
    </dxf>
    <dxf>
      <alignment horizontal="general"/>
    </dxf>
    <dxf>
      <alignment horizontal="left"/>
    </dxf>
    <dxf>
      <alignment horizontal="left"/>
    </dxf>
    <dxf>
      <numFmt numFmtId="1" formatCode="0"/>
    </dxf>
    <dxf>
      <numFmt numFmtId="1" formatCode="0"/>
    </dxf>
    <dxf>
      <numFmt numFmtId="1" formatCode="0"/>
    </dxf>
    <dxf>
      <numFmt numFmtId="1" formatCode="0"/>
    </dxf>
    <dxf>
      <numFmt numFmtId="1" formatCode="0"/>
    </dxf>
    <dxf>
      <numFmt numFmtId="2" formatCode="0.00"/>
    </dxf>
    <dxf>
      <numFmt numFmtId="14" formatCode="0.00%"/>
    </dxf>
    <dxf>
      <alignment vertical="top"/>
    </dxf>
    <dxf>
      <alignment vertical="top"/>
    </dxf>
    <dxf>
      <alignment vertical="top"/>
    </dxf>
    <dxf>
      <alignment horizontal="general"/>
    </dxf>
    <dxf>
      <alignment horizontal="general"/>
    </dxf>
    <dxf>
      <alignment horizontal="general"/>
    </dxf>
    <dxf>
      <alignment horizontal="left"/>
    </dxf>
    <dxf>
      <alignment horizontal="left"/>
    </dxf>
    <dxf>
      <numFmt numFmtId="2" formatCode="0.00"/>
    </dxf>
    <dxf>
      <alignment vertical="top"/>
    </dxf>
    <dxf>
      <alignment vertical="top"/>
    </dxf>
    <dxf>
      <alignment vertical="top"/>
    </dxf>
    <dxf>
      <alignment horizontal="general"/>
    </dxf>
    <dxf>
      <alignment horizontal="general"/>
    </dxf>
    <dxf>
      <alignment horizontal="general"/>
    </dxf>
    <dxf>
      <alignment horizontal="left"/>
    </dxf>
    <dxf>
      <alignment horizontal="left"/>
    </dxf>
    <dxf>
      <numFmt numFmtId="2" formatCode="0.00"/>
    </dxf>
    <dxf>
      <alignment vertical="top"/>
    </dxf>
    <dxf>
      <alignment vertical="top"/>
    </dxf>
    <dxf>
      <alignment vertical="top"/>
    </dxf>
    <dxf>
      <alignment horizontal="general"/>
    </dxf>
    <dxf>
      <alignment horizontal="general"/>
    </dxf>
    <dxf>
      <alignment horizontal="general"/>
    </dxf>
    <dxf>
      <alignment horizontal="left"/>
    </dxf>
    <dxf>
      <alignment horizontal="left"/>
    </dxf>
    <dxf>
      <numFmt numFmtId="2" formatCode="0.00"/>
    </dxf>
    <dxf>
      <numFmt numFmtId="2" formatCode="0.00"/>
    </dxf>
    <dxf>
      <alignment vertical="top"/>
    </dxf>
    <dxf>
      <alignment vertical="top"/>
    </dxf>
    <dxf>
      <alignment vertical="top"/>
    </dxf>
    <dxf>
      <alignment horizontal="general"/>
    </dxf>
    <dxf>
      <alignment horizontal="general"/>
    </dxf>
    <dxf>
      <alignment horizontal="general"/>
    </dxf>
    <dxf>
      <numFmt numFmtId="2" formatCode="0.00"/>
    </dxf>
    <dxf>
      <alignment vertical="top"/>
    </dxf>
    <dxf>
      <alignment vertical="top"/>
    </dxf>
    <dxf>
      <alignment vertical="top"/>
    </dxf>
    <dxf>
      <alignment horizontal="general"/>
    </dxf>
    <dxf>
      <alignment horizontal="general"/>
    </dxf>
    <dxf>
      <alignment horizontal="general"/>
    </dxf>
    <dxf>
      <alignment horizontal="left"/>
    </dxf>
    <dxf>
      <alignment horizontal="left"/>
    </dxf>
    <dxf>
      <numFmt numFmtId="1" formatCode="0"/>
    </dxf>
    <dxf>
      <alignment horizontal="left"/>
    </dxf>
    <dxf>
      <alignment horizontal="left"/>
    </dxf>
    <dxf>
      <alignment horizontal="general"/>
    </dxf>
    <dxf>
      <alignment horizontal="general"/>
    </dxf>
    <dxf>
      <alignment horizontal="general"/>
    </dxf>
    <dxf>
      <alignment vertical="top"/>
    </dxf>
    <dxf>
      <alignment vertical="top"/>
    </dxf>
    <dxf>
      <alignment vertical="top"/>
    </dxf>
    <dxf>
      <numFmt numFmtId="2" formatCode="0.00"/>
    </dxf>
    <dxf>
      <alignment horizontal="left"/>
    </dxf>
    <dxf>
      <alignment horizontal="left"/>
    </dxf>
    <dxf>
      <alignment horizontal="general"/>
    </dxf>
    <dxf>
      <alignment horizontal="general"/>
    </dxf>
    <dxf>
      <alignment horizontal="general"/>
    </dxf>
    <dxf>
      <alignment vertical="top"/>
    </dxf>
    <dxf>
      <alignment vertical="top"/>
    </dxf>
    <dxf>
      <alignment vertical="top"/>
    </dxf>
    <dxf>
      <numFmt numFmtId="2" formatCode="0.00"/>
    </dxf>
    <dxf>
      <numFmt numFmtId="1" formatCode="0"/>
    </dxf>
    <dxf>
      <numFmt numFmtId="2" formatCode="0.00"/>
    </dxf>
    <dxf>
      <numFmt numFmtId="1" formatCode="0"/>
    </dxf>
    <dxf>
      <numFmt numFmtId="2" formatCode="0.00"/>
    </dxf>
    <dxf>
      <alignment horizontal="left"/>
    </dxf>
    <dxf>
      <alignment horizontal="left"/>
    </dxf>
    <dxf>
      <alignment horizontal="general"/>
    </dxf>
    <dxf>
      <alignment horizontal="general"/>
    </dxf>
    <dxf>
      <alignment horizontal="general"/>
    </dxf>
    <dxf>
      <alignment vertical="top"/>
    </dxf>
    <dxf>
      <alignment vertical="top"/>
    </dxf>
    <dxf>
      <alignment vertical="top"/>
    </dxf>
    <dxf>
      <numFmt numFmtId="14" formatCode="0.00%"/>
    </dxf>
    <dxf>
      <numFmt numFmtId="2" formatCode="0.00"/>
    </dxf>
    <dxf>
      <numFmt numFmtId="1" formatCode="0"/>
    </dxf>
    <dxf>
      <numFmt numFmtId="1" formatCode="0"/>
    </dxf>
    <dxf>
      <alignment horizontal="general"/>
    </dxf>
    <dxf>
      <alignment horizontal="general"/>
    </dxf>
    <dxf>
      <alignment horizontal="general"/>
    </dxf>
    <dxf>
      <alignment vertical="top"/>
    </dxf>
    <dxf>
      <alignment vertical="top"/>
    </dxf>
    <dxf>
      <alignment vertical="top"/>
    </dxf>
    <dxf>
      <alignment horizontal="left"/>
    </dxf>
    <dxf>
      <alignment horizontal="left"/>
    </dxf>
    <dxf>
      <alignment horizontal="general"/>
    </dxf>
    <dxf>
      <alignment horizontal="general"/>
    </dxf>
    <dxf>
      <alignment horizontal="general"/>
    </dxf>
    <dxf>
      <alignment vertical="top"/>
    </dxf>
    <dxf>
      <alignment vertical="top"/>
    </dxf>
    <dxf>
      <alignment vertical="top"/>
    </dxf>
    <dxf>
      <numFmt numFmtId="2" formatCode="0.00"/>
    </dxf>
    <dxf>
      <font>
        <b/>
        <color theme="1"/>
      </font>
      <border>
        <bottom style="thin">
          <color theme="5"/>
        </bottom>
        <vertical/>
        <horizontal/>
      </border>
    </dxf>
    <dxf>
      <font>
        <sz val="8"/>
        <color theme="1"/>
      </font>
      <fill>
        <patternFill>
          <bgColor theme="9" tint="0.39994506668294322"/>
        </patternFill>
      </fill>
      <border diagonalUp="0" diagonalDown="0">
        <left/>
        <right/>
        <top/>
        <bottom/>
        <vertical/>
        <horizontal/>
      </border>
    </dxf>
  </dxfs>
  <tableStyles count="1" defaultTableStyle="TableStyleMedium2" defaultPivotStyle="PivotStyleLight16">
    <tableStyle name="MyStyle" pivot="0" table="0" count="10" xr9:uid="{7AE99E51-FCCF-45C4-8582-3A64E93DC43E}">
      <tableStyleElement type="wholeTable" dxfId="151"/>
      <tableStyleElement type="headerRow" dxfId="15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[Book1.xlsx]Kpi!PivotTable4</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No.of Patients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Kpi!$B$8</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Kpi!$A$9:$A$40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Kpi!$B$9:$B$40</c:f>
              <c:numCache>
                <c:formatCode>0.00</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0-EAEF-4C57-BE66-08144C8FA1D2}"/>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027213807"/>
        <c:axId val="1027216207"/>
      </c:areaChart>
      <c:catAx>
        <c:axId val="10272138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27216207"/>
        <c:crosses val="autoZero"/>
        <c:auto val="1"/>
        <c:lblAlgn val="ctr"/>
        <c:lblOffset val="100"/>
        <c:noMultiLvlLbl val="0"/>
      </c:catAx>
      <c:valAx>
        <c:axId val="102721620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72138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[Book1.xlsx]Kpi!PivotTable5</c:name>
    <c:fmtId val="19"/>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AVG Waiting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Kpi!$B$44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Kpi!$A$45:$A$76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Kpi!$B$45:$B$76</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00BC-4DFA-AD87-56A65FDB266D}"/>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872644559"/>
        <c:axId val="1872642639"/>
      </c:areaChart>
      <c:catAx>
        <c:axId val="18726445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72642639"/>
        <c:crosses val="autoZero"/>
        <c:auto val="1"/>
        <c:lblAlgn val="ctr"/>
        <c:lblOffset val="100"/>
        <c:noMultiLvlLbl val="0"/>
      </c:catAx>
      <c:valAx>
        <c:axId val="18726426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2644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[Book1.xlsx]Kpi!PivotTable6</c:name>
    <c:fmtId val="19"/>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AVG Satisfaction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Kpi!$B$78</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Kpi!$A$79:$A$110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Kpi!$B$79:$B$110</c:f>
              <c:numCache>
                <c:formatCode>0.00</c:formatCode>
                <c:ptCount val="31"/>
                <c:pt idx="0">
                  <c:v>6.8571428571428568</c:v>
                </c:pt>
                <c:pt idx="1">
                  <c:v>4.3636363636363633</c:v>
                </c:pt>
                <c:pt idx="2">
                  <c:v>6.416666666666667</c:v>
                </c:pt>
                <c:pt idx="3">
                  <c:v>5.5384615384615383</c:v>
                </c:pt>
                <c:pt idx="4">
                  <c:v>5</c:v>
                </c:pt>
                <c:pt idx="5">
                  <c:v>4.9090909090909092</c:v>
                </c:pt>
                <c:pt idx="6">
                  <c:v>3.3</c:v>
                </c:pt>
                <c:pt idx="7">
                  <c:v>4.7</c:v>
                </c:pt>
                <c:pt idx="8">
                  <c:v>4.666666666666667</c:v>
                </c:pt>
                <c:pt idx="9">
                  <c:v>4.875</c:v>
                </c:pt>
                <c:pt idx="10">
                  <c:v>5.333333333333333</c:v>
                </c:pt>
                <c:pt idx="11">
                  <c:v>4.125</c:v>
                </c:pt>
                <c:pt idx="12">
                  <c:v>6</c:v>
                </c:pt>
                <c:pt idx="13">
                  <c:v>4.3</c:v>
                </c:pt>
                <c:pt idx="14">
                  <c:v>4.2</c:v>
                </c:pt>
                <c:pt idx="15">
                  <c:v>6.8666666666666663</c:v>
                </c:pt>
                <c:pt idx="16">
                  <c:v>6.2857142857142856</c:v>
                </c:pt>
                <c:pt idx="17">
                  <c:v>4.0909090909090908</c:v>
                </c:pt>
                <c:pt idx="18">
                  <c:v>4</c:v>
                </c:pt>
                <c:pt idx="19">
                  <c:v>5.4285714285714288</c:v>
                </c:pt>
                <c:pt idx="20">
                  <c:v>5.8</c:v>
                </c:pt>
                <c:pt idx="21">
                  <c:v>4.5625</c:v>
                </c:pt>
                <c:pt idx="22">
                  <c:v>4.5454545454545459</c:v>
                </c:pt>
                <c:pt idx="23">
                  <c:v>5.75</c:v>
                </c:pt>
                <c:pt idx="24">
                  <c:v>5.2</c:v>
                </c:pt>
                <c:pt idx="25">
                  <c:v>7.25</c:v>
                </c:pt>
                <c:pt idx="26">
                  <c:v>4.8</c:v>
                </c:pt>
                <c:pt idx="27">
                  <c:v>4.5384615384615383</c:v>
                </c:pt>
                <c:pt idx="28">
                  <c:v>4.5999999999999996</c:v>
                </c:pt>
                <c:pt idx="29">
                  <c:v>5</c:v>
                </c:pt>
                <c:pt idx="30">
                  <c:v>7</c:v>
                </c:pt>
              </c:numCache>
            </c:numRef>
          </c:val>
          <c:extLst>
            <c:ext xmlns:c16="http://schemas.microsoft.com/office/drawing/2014/chart" uri="{C3380CC4-5D6E-409C-BE32-E72D297353CC}">
              <c16:uniqueId val="{00000000-7172-495C-979E-A5FB31F4829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055521215"/>
        <c:axId val="2055521695"/>
      </c:areaChart>
      <c:catAx>
        <c:axId val="20555212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055521695"/>
        <c:crosses val="autoZero"/>
        <c:auto val="1"/>
        <c:lblAlgn val="ctr"/>
        <c:lblOffset val="100"/>
        <c:noMultiLvlLbl val="0"/>
      </c:catAx>
      <c:valAx>
        <c:axId val="205552169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5521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fld id="{839E7C46-A347-4287-9721-74B71B916A68}" type="CELLRANGE">
                  <a:rPr lang="en-US"/>
                  <a:pPr>
                    <a:defRPr b="1"/>
                  </a:pPr>
                  <a:t>[CELLRANGE]</a:t>
                </a:fld>
                <a:endParaRPr lang="en-US"/>
              </a:p>
            </c:rich>
          </c:tx>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3615917412120366"/>
                  <c:h val="0.37727755318110706"/>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fld id="{B6AAF33B-7F74-4959-B8B5-04D9E7FFCBF8}" type="CELLRANGE">
                  <a:rPr lang="en-US"/>
                  <a:pPr>
                    <a:defRPr b="1"/>
                  </a:pPr>
                  <a:t>[CELLRANGE]</a:t>
                </a:fld>
                <a:endParaRPr lang="en-US"/>
              </a:p>
            </c:rich>
          </c:tx>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4498920233557723"/>
                  <c:h val="0.37727755318110706"/>
                </c:manualLayout>
              </c15:layout>
              <c15:dlblFieldTable/>
              <c15:showDataLabelsRange val="1"/>
            </c:ext>
          </c:extLst>
        </c:dLbl>
      </c:pivotFmt>
    </c:pivotFmts>
    <c:plotArea>
      <c:layout>
        <c:manualLayout>
          <c:layoutTarget val="inner"/>
          <c:xMode val="edge"/>
          <c:yMode val="edge"/>
          <c:x val="2.5116215686301804E-2"/>
          <c:y val="0.11267622295105238"/>
          <c:w val="0.88545228516958518"/>
          <c:h val="0.58685384917947458"/>
        </c:manualLayout>
      </c:layout>
      <c:barChart>
        <c:barDir val="bar"/>
        <c:grouping val="clustered"/>
        <c:varyColors val="0"/>
        <c:ser>
          <c:idx val="0"/>
          <c:order val="0"/>
          <c:tx>
            <c:strRef>
              <c:f>Kpi!$C$113:$C$114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171B-48C7-B03D-CFBC03B9F710}"/>
              </c:ext>
            </c:extLst>
          </c:dPt>
          <c:dPt>
            <c:idx val="1"/>
            <c:invertIfNegative val="0"/>
            <c:bubble3D val="0"/>
            <c:extLst>
              <c:ext xmlns:c16="http://schemas.microsoft.com/office/drawing/2014/chart" uri="{C3380CC4-5D6E-409C-BE32-E72D297353CC}">
                <c16:uniqueId val="{00000004-171B-48C7-B03D-CFBC03B9F710}"/>
              </c:ext>
            </c:extLst>
          </c:dPt>
          <c:dLbls>
            <c:dLbl>
              <c:idx val="0"/>
              <c:tx>
                <c:rich>
                  <a:bodyPr/>
                  <a:lstStyle/>
                  <a:p>
                    <a:fld id="{839E7C46-A347-4287-9721-74B71B916A6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33615917412120366"/>
                      <c:h val="0.37727755318110706"/>
                    </c:manualLayout>
                  </c15:layout>
                  <c15:dlblFieldTable/>
                  <c15:showDataLabelsRange val="1"/>
                </c:ext>
                <c:ext xmlns:c16="http://schemas.microsoft.com/office/drawing/2014/chart" uri="{C3380CC4-5D6E-409C-BE32-E72D297353CC}">
                  <c16:uniqueId val="{00000003-171B-48C7-B03D-CFBC03B9F710}"/>
                </c:ext>
              </c:extLst>
            </c:dLbl>
            <c:dLbl>
              <c:idx val="1"/>
              <c:tx>
                <c:rich>
                  <a:bodyPr/>
                  <a:lstStyle/>
                  <a:p>
                    <a:fld id="{B6AAF33B-7F74-4959-B8B5-04D9E7FFCBF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34498920233557723"/>
                      <c:h val="0.37727755318110706"/>
                    </c:manualLayout>
                  </c15:layout>
                  <c15:dlblFieldTable/>
                  <c15:showDataLabelsRange val="1"/>
                </c:ext>
                <c:ext xmlns:c16="http://schemas.microsoft.com/office/drawing/2014/chart" uri="{C3380CC4-5D6E-409C-BE32-E72D297353CC}">
                  <c16:uniqueId val="{00000004-171B-48C7-B03D-CFBC03B9F710}"/>
                </c:ext>
              </c:extLst>
            </c:dLbl>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Kpi!$C$113:$C$114</c:f>
              <c:strCache>
                <c:ptCount val="2"/>
                <c:pt idx="0">
                  <c:v>Admitted</c:v>
                </c:pt>
                <c:pt idx="1">
                  <c:v>Not Admitted</c:v>
                </c:pt>
              </c:strCache>
            </c:strRef>
          </c:cat>
          <c:val>
            <c:numRef>
              <c:f>Kpi!$C$113:$C$114</c:f>
              <c:numCache>
                <c:formatCode>0.00</c:formatCode>
                <c:ptCount val="2"/>
                <c:pt idx="0">
                  <c:v>495</c:v>
                </c:pt>
                <c:pt idx="1">
                  <c:v>504</c:v>
                </c:pt>
              </c:numCache>
            </c:numRef>
          </c:val>
          <c:extLst>
            <c:ext xmlns:c15="http://schemas.microsoft.com/office/drawing/2012/chart" uri="{02D57815-91ED-43cb-92C2-25804820EDAC}">
              <c15:datalabelsRange>
                <c15:f>Kpi!$C$113:$C$114</c15:f>
                <c15:dlblRangeCache>
                  <c:ptCount val="2"/>
                  <c:pt idx="0">
                    <c:v>49.55%</c:v>
                  </c:pt>
                  <c:pt idx="1">
                    <c:v>50.45%</c:v>
                  </c:pt>
                </c15:dlblRangeCache>
              </c15:datalabelsRange>
            </c:ext>
            <c:ext xmlns:c16="http://schemas.microsoft.com/office/drawing/2014/chart" uri="{C3380CC4-5D6E-409C-BE32-E72D297353CC}">
              <c16:uniqueId val="{00000000-171B-48C7-B03D-CFBC03B9F710}"/>
            </c:ext>
          </c:extLst>
        </c:ser>
        <c:ser>
          <c:idx val="1"/>
          <c:order val="1"/>
          <c:tx>
            <c:strRef>
              <c:f>Kpi!$C$113:$C$114</c:f>
              <c:strCache>
                <c:ptCount val="1"/>
                <c:pt idx="0">
                  <c:v>Count of Patient Admission Flag2</c:v>
                </c:pt>
              </c:strCache>
            </c:strRef>
          </c:tx>
          <c:spPr>
            <a:solidFill>
              <a:schemeClr val="accent2"/>
            </a:solidFill>
            <a:ln>
              <a:noFill/>
            </a:ln>
            <a:effectLst/>
          </c:spPr>
          <c:invertIfNegative val="0"/>
          <c:cat>
            <c:strRef>
              <c:f>Kpi!$C$113:$C$114</c:f>
              <c:strCache>
                <c:ptCount val="2"/>
                <c:pt idx="0">
                  <c:v>Admitted</c:v>
                </c:pt>
                <c:pt idx="1">
                  <c:v>Not Admitted</c:v>
                </c:pt>
              </c:strCache>
            </c:strRef>
          </c:cat>
          <c:val>
            <c:numRef>
              <c:f>Kpi!$C$113:$C$114</c:f>
              <c:numCache>
                <c:formatCode>0.00%</c:formatCode>
                <c:ptCount val="2"/>
                <c:pt idx="0">
                  <c:v>0.49549549549549549</c:v>
                </c:pt>
                <c:pt idx="1">
                  <c:v>0.50450450450450446</c:v>
                </c:pt>
              </c:numCache>
            </c:numRef>
          </c:val>
          <c:extLst>
            <c:ext xmlns:c16="http://schemas.microsoft.com/office/drawing/2014/chart" uri="{C3380CC4-5D6E-409C-BE32-E72D297353CC}">
              <c16:uniqueId val="{00000001-171B-48C7-B03D-CFBC03B9F710}"/>
            </c:ext>
          </c:extLst>
        </c:ser>
        <c:dLbls>
          <c:showLegendKey val="0"/>
          <c:showVal val="0"/>
          <c:showCatName val="0"/>
          <c:showSerName val="0"/>
          <c:showPercent val="0"/>
          <c:showBubbleSize val="0"/>
        </c:dLbls>
        <c:gapWidth val="192"/>
        <c:overlap val="28"/>
        <c:axId val="2060005583"/>
        <c:axId val="2060006543"/>
      </c:barChart>
      <c:catAx>
        <c:axId val="2060005583"/>
        <c:scaling>
          <c:orientation val="minMax"/>
        </c:scaling>
        <c:delete val="1"/>
        <c:axPos val="l"/>
        <c:numFmt formatCode="General" sourceLinked="1"/>
        <c:majorTickMark val="none"/>
        <c:minorTickMark val="none"/>
        <c:tickLblPos val="nextTo"/>
        <c:crossAx val="2060006543"/>
        <c:crosses val="autoZero"/>
        <c:auto val="1"/>
        <c:lblAlgn val="ctr"/>
        <c:lblOffset val="100"/>
        <c:noMultiLvlLbl val="0"/>
      </c:catAx>
      <c:valAx>
        <c:axId val="2060006543"/>
        <c:scaling>
          <c:orientation val="minMax"/>
        </c:scaling>
        <c:delete val="1"/>
        <c:axPos val="b"/>
        <c:numFmt formatCode="0.00" sourceLinked="1"/>
        <c:majorTickMark val="none"/>
        <c:minorTickMark val="none"/>
        <c:tickLblPos val="nextTo"/>
        <c:crossAx val="206000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[Book1.xlsx]Kpi!PivotTable8</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Kpi!$A$122:$A$130</c:f>
              <c:strCache>
                <c:ptCount val="8"/>
                <c:pt idx="0">
                  <c:v>0-09</c:v>
                </c:pt>
                <c:pt idx="1">
                  <c:v>10-19</c:v>
                </c:pt>
                <c:pt idx="2">
                  <c:v>20-29</c:v>
                </c:pt>
                <c:pt idx="3">
                  <c:v>30-39</c:v>
                </c:pt>
                <c:pt idx="4">
                  <c:v>40-49</c:v>
                </c:pt>
                <c:pt idx="5">
                  <c:v>50-59</c:v>
                </c:pt>
                <c:pt idx="6">
                  <c:v>60-69</c:v>
                </c:pt>
                <c:pt idx="7">
                  <c:v>70-79</c:v>
                </c:pt>
              </c:strCache>
            </c:strRef>
          </c:cat>
          <c:val>
            <c:numRef>
              <c:f>Kpi!$B$122:$B$130</c:f>
              <c:numCache>
                <c:formatCode>0</c:formatCode>
                <c:ptCount val="8"/>
                <c:pt idx="0">
                  <c:v>136</c:v>
                </c:pt>
                <c:pt idx="1">
                  <c:v>113</c:v>
                </c:pt>
                <c:pt idx="2">
                  <c:v>131</c:v>
                </c:pt>
                <c:pt idx="3">
                  <c:v>144</c:v>
                </c:pt>
                <c:pt idx="4">
                  <c:v>121</c:v>
                </c:pt>
                <c:pt idx="5">
                  <c:v>128</c:v>
                </c:pt>
                <c:pt idx="6">
                  <c:v>119</c:v>
                </c:pt>
                <c:pt idx="7">
                  <c:v>107</c:v>
                </c:pt>
              </c:numCache>
            </c:numRef>
          </c:val>
          <c:extLst>
            <c:ext xmlns:c16="http://schemas.microsoft.com/office/drawing/2014/chart" uri="{C3380CC4-5D6E-409C-BE32-E72D297353CC}">
              <c16:uniqueId val="{00000000-193A-4530-A06D-60F4027E638F}"/>
            </c:ext>
          </c:extLst>
        </c:ser>
        <c:dLbls>
          <c:showLegendKey val="0"/>
          <c:showVal val="0"/>
          <c:showCatName val="0"/>
          <c:showSerName val="0"/>
          <c:showPercent val="0"/>
          <c:showBubbleSize val="0"/>
        </c:dLbls>
        <c:gapWidth val="315"/>
        <c:overlap val="-40"/>
        <c:axId val="2051790431"/>
        <c:axId val="1921866911"/>
      </c:barChart>
      <c:catAx>
        <c:axId val="20517904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1866911"/>
        <c:crosses val="autoZero"/>
        <c:auto val="1"/>
        <c:lblAlgn val="ctr"/>
        <c:lblOffset val="100"/>
        <c:noMultiLvlLbl val="0"/>
      </c:catAx>
      <c:valAx>
        <c:axId val="19218669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179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5499508763936152"/>
          <c:y val="3.0380695978387346E-2"/>
          <c:w val="0.28820966999378245"/>
          <c:h val="0.88791083073010646"/>
        </c:manualLayout>
      </c:layout>
      <c:pieChart>
        <c:varyColors val="1"/>
        <c:ser>
          <c:idx val="0"/>
          <c:order val="0"/>
          <c:tx>
            <c:strRef>
              <c:f>Kpi!$B$132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1D-491D-98C8-1966DA0FAB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1D-491D-98C8-1966DA0FABA1}"/>
              </c:ext>
            </c:extLst>
          </c:dPt>
          <c:cat>
            <c:strRef>
              <c:f>Kpi!$A$133:$A$135</c:f>
              <c:strCache>
                <c:ptCount val="2"/>
                <c:pt idx="0">
                  <c:v>Delay</c:v>
                </c:pt>
                <c:pt idx="1">
                  <c:v>OnTime</c:v>
                </c:pt>
              </c:strCache>
            </c:strRef>
          </c:cat>
          <c:val>
            <c:numRef>
              <c:f>Kpi!$B$133:$B$135</c:f>
              <c:numCache>
                <c:formatCode>0</c:formatCode>
                <c:ptCount val="2"/>
                <c:pt idx="0">
                  <c:v>591</c:v>
                </c:pt>
                <c:pt idx="1">
                  <c:v>408</c:v>
                </c:pt>
              </c:numCache>
            </c:numRef>
          </c:val>
          <c:extLst>
            <c:ext xmlns:c16="http://schemas.microsoft.com/office/drawing/2014/chart" uri="{C3380CC4-5D6E-409C-BE32-E72D297353CC}">
              <c16:uniqueId val="{00000000-FE5B-460D-828D-4B1871C1C3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[Book1.xlsx]Kpi!PivotTable10</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Kpi!$B$142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FC-4F0C-8B57-35BE636429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FC-4F0C-8B57-35BE63642905}"/>
              </c:ext>
            </c:extLst>
          </c:dPt>
          <c:cat>
            <c:strRef>
              <c:f>Kpi!$A$143:$A$145</c:f>
              <c:strCache>
                <c:ptCount val="2"/>
                <c:pt idx="0">
                  <c:v>Female</c:v>
                </c:pt>
                <c:pt idx="1">
                  <c:v>Male</c:v>
                </c:pt>
              </c:strCache>
            </c:strRef>
          </c:cat>
          <c:val>
            <c:numRef>
              <c:f>Kpi!$B$143:$B$145</c:f>
              <c:numCache>
                <c:formatCode>0</c:formatCode>
                <c:ptCount val="2"/>
                <c:pt idx="0">
                  <c:v>515</c:v>
                </c:pt>
                <c:pt idx="1">
                  <c:v>484</c:v>
                </c:pt>
              </c:numCache>
            </c:numRef>
          </c:val>
          <c:extLst>
            <c:ext xmlns:c16="http://schemas.microsoft.com/office/drawing/2014/chart" uri="{C3380CC4-5D6E-409C-BE32-E72D297353CC}">
              <c16:uniqueId val="{00000000-C6F5-4AD7-BD64-C0BBAF1673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[Book1.xlsx]Kpi!PivotTable11</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Kpi!$B$154</c:f>
              <c:strCache>
                <c:ptCount val="1"/>
                <c:pt idx="0">
                  <c:v>Total</c:v>
                </c:pt>
              </c:strCache>
            </c:strRef>
          </c:tx>
          <c:spPr>
            <a:solidFill>
              <a:schemeClr val="accent1"/>
            </a:solidFill>
            <a:ln>
              <a:noFill/>
            </a:ln>
            <a:effectLst/>
          </c:spPr>
          <c:invertIfNegative val="0"/>
          <c:cat>
            <c:strRef>
              <c:f>Kpi!$A$155:$A$163</c:f>
              <c:strCache>
                <c:ptCount val="8"/>
                <c:pt idx="0">
                  <c:v>Renal</c:v>
                </c:pt>
                <c:pt idx="1">
                  <c:v>Gastroenterology</c:v>
                </c:pt>
                <c:pt idx="2">
                  <c:v>Cardiology</c:v>
                </c:pt>
                <c:pt idx="3">
                  <c:v>Neurology</c:v>
                </c:pt>
                <c:pt idx="4">
                  <c:v>Physiotherapy</c:v>
                </c:pt>
                <c:pt idx="5">
                  <c:v>Orthopedics</c:v>
                </c:pt>
                <c:pt idx="6">
                  <c:v>General Practice</c:v>
                </c:pt>
              </c:strCache>
            </c:strRef>
          </c:cat>
          <c:val>
            <c:numRef>
              <c:f>Kpi!$B$155:$B$163</c:f>
              <c:numCache>
                <c:formatCode>0</c:formatCode>
                <c:ptCount val="8"/>
                <c:pt idx="0">
                  <c:v>9</c:v>
                </c:pt>
                <c:pt idx="1">
                  <c:v>20</c:v>
                </c:pt>
                <c:pt idx="2">
                  <c:v>23</c:v>
                </c:pt>
                <c:pt idx="3">
                  <c:v>27</c:v>
                </c:pt>
                <c:pt idx="4">
                  <c:v>35</c:v>
                </c:pt>
                <c:pt idx="5">
                  <c:v>86</c:v>
                </c:pt>
                <c:pt idx="6">
                  <c:v>195</c:v>
                </c:pt>
                <c:pt idx="7">
                  <c:v>604</c:v>
                </c:pt>
              </c:numCache>
            </c:numRef>
          </c:val>
          <c:extLst>
            <c:ext xmlns:c16="http://schemas.microsoft.com/office/drawing/2014/chart" uri="{C3380CC4-5D6E-409C-BE32-E72D297353CC}">
              <c16:uniqueId val="{00000000-1046-4F1B-90E8-ECF3670C60E7}"/>
            </c:ext>
          </c:extLst>
        </c:ser>
        <c:dLbls>
          <c:showLegendKey val="0"/>
          <c:showVal val="0"/>
          <c:showCatName val="0"/>
          <c:showSerName val="0"/>
          <c:showPercent val="0"/>
          <c:showBubbleSize val="0"/>
        </c:dLbls>
        <c:gapWidth val="182"/>
        <c:axId val="2061554991"/>
        <c:axId val="2061552591"/>
      </c:barChart>
      <c:catAx>
        <c:axId val="206155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52591"/>
        <c:crosses val="autoZero"/>
        <c:auto val="1"/>
        <c:lblAlgn val="ctr"/>
        <c:lblOffset val="100"/>
        <c:noMultiLvlLbl val="0"/>
      </c:catAx>
      <c:valAx>
        <c:axId val="20615525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5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[Book1.xlsx]Kpi!PivotTable4</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66040783363623E-2"/>
          <c:y val="0.11287484224185435"/>
          <c:w val="0.88785820041725549"/>
          <c:h val="0.5103953730202464"/>
        </c:manualLayout>
      </c:layout>
      <c:areaChart>
        <c:grouping val="standard"/>
        <c:varyColors val="0"/>
        <c:ser>
          <c:idx val="0"/>
          <c:order val="0"/>
          <c:tx>
            <c:strRef>
              <c:f>Kpi!$B$8</c:f>
              <c:strCache>
                <c:ptCount val="1"/>
                <c:pt idx="0">
                  <c:v>Total</c:v>
                </c:pt>
              </c:strCache>
            </c:strRef>
          </c:tx>
          <c:spPr>
            <a:solidFill>
              <a:schemeClr val="accent6"/>
            </a:solidFill>
            <a:ln>
              <a:noFill/>
            </a:ln>
            <a:effectLst/>
          </c:spPr>
          <c:cat>
            <c:strRef>
              <c:f>Kpi!$A$9:$A$40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Kpi!$B$9:$B$40</c:f>
              <c:numCache>
                <c:formatCode>0.00</c:formatCode>
                <c:ptCount val="31"/>
                <c:pt idx="0">
                  <c:v>34</c:v>
                </c:pt>
                <c:pt idx="1">
                  <c:v>37</c:v>
                </c:pt>
                <c:pt idx="2">
                  <c:v>41</c:v>
                </c:pt>
                <c:pt idx="3">
                  <c:v>31</c:v>
                </c:pt>
                <c:pt idx="4">
                  <c:v>29</c:v>
                </c:pt>
                <c:pt idx="5">
                  <c:v>33</c:v>
                </c:pt>
                <c:pt idx="6">
                  <c:v>30</c:v>
                </c:pt>
                <c:pt idx="7">
                  <c:v>37</c:v>
                </c:pt>
                <c:pt idx="8">
                  <c:v>33</c:v>
                </c:pt>
                <c:pt idx="9">
                  <c:v>37</c:v>
                </c:pt>
                <c:pt idx="10">
                  <c:v>31</c:v>
                </c:pt>
                <c:pt idx="11">
                  <c:v>25</c:v>
                </c:pt>
                <c:pt idx="12">
                  <c:v>25</c:v>
                </c:pt>
                <c:pt idx="13">
                  <c:v>25</c:v>
                </c:pt>
                <c:pt idx="14">
                  <c:v>23</c:v>
                </c:pt>
                <c:pt idx="15">
                  <c:v>41</c:v>
                </c:pt>
                <c:pt idx="16">
                  <c:v>31</c:v>
                </c:pt>
                <c:pt idx="17">
                  <c:v>34</c:v>
                </c:pt>
                <c:pt idx="18">
                  <c:v>31</c:v>
                </c:pt>
                <c:pt idx="19">
                  <c:v>31</c:v>
                </c:pt>
                <c:pt idx="20">
                  <c:v>44</c:v>
                </c:pt>
                <c:pt idx="21">
                  <c:v>43</c:v>
                </c:pt>
                <c:pt idx="22">
                  <c:v>33</c:v>
                </c:pt>
                <c:pt idx="23">
                  <c:v>28</c:v>
                </c:pt>
                <c:pt idx="24">
                  <c:v>34</c:v>
                </c:pt>
                <c:pt idx="25">
                  <c:v>24</c:v>
                </c:pt>
                <c:pt idx="26">
                  <c:v>27</c:v>
                </c:pt>
                <c:pt idx="27">
                  <c:v>23</c:v>
                </c:pt>
                <c:pt idx="28">
                  <c:v>35</c:v>
                </c:pt>
                <c:pt idx="29">
                  <c:v>39</c:v>
                </c:pt>
                <c:pt idx="30">
                  <c:v>30</c:v>
                </c:pt>
              </c:numCache>
            </c:numRef>
          </c:val>
          <c:extLst>
            <c:ext xmlns:c16="http://schemas.microsoft.com/office/drawing/2014/chart" uri="{C3380CC4-5D6E-409C-BE32-E72D297353CC}">
              <c16:uniqueId val="{00000000-924E-42AA-B8B6-E3DC8CA02494}"/>
            </c:ext>
          </c:extLst>
        </c:ser>
        <c:dLbls>
          <c:showLegendKey val="0"/>
          <c:showVal val="0"/>
          <c:showCatName val="0"/>
          <c:showSerName val="0"/>
          <c:showPercent val="0"/>
          <c:showBubbleSize val="0"/>
        </c:dLbls>
        <c:axId val="1027213807"/>
        <c:axId val="1027216207"/>
      </c:areaChart>
      <c:catAx>
        <c:axId val="1027213807"/>
        <c:scaling>
          <c:orientation val="minMax"/>
        </c:scaling>
        <c:delete val="1"/>
        <c:axPos val="b"/>
        <c:numFmt formatCode="General" sourceLinked="1"/>
        <c:majorTickMark val="out"/>
        <c:minorTickMark val="none"/>
        <c:tickLblPos val="nextTo"/>
        <c:crossAx val="1027216207"/>
        <c:crosses val="autoZero"/>
        <c:auto val="1"/>
        <c:lblAlgn val="ctr"/>
        <c:lblOffset val="100"/>
        <c:noMultiLvlLbl val="0"/>
      </c:catAx>
      <c:valAx>
        <c:axId val="1027216207"/>
        <c:scaling>
          <c:orientation val="minMax"/>
        </c:scaling>
        <c:delete val="1"/>
        <c:axPos val="l"/>
        <c:numFmt formatCode="0.00" sourceLinked="1"/>
        <c:majorTickMark val="none"/>
        <c:minorTickMark val="none"/>
        <c:tickLblPos val="nextTo"/>
        <c:crossAx val="10272138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Kpi!$B$44</c:f>
              <c:strCache>
                <c:ptCount val="1"/>
                <c:pt idx="0">
                  <c:v>Total</c:v>
                </c:pt>
              </c:strCache>
            </c:strRef>
          </c:tx>
          <c:spPr>
            <a:solidFill>
              <a:schemeClr val="accent6"/>
            </a:solidFill>
            <a:ln>
              <a:noFill/>
            </a:ln>
            <a:effectLst/>
          </c:spPr>
          <c:cat>
            <c:strRef>
              <c:f>Kpi!$A$45:$A$76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Kpi!$B$45:$B$76</c:f>
              <c:numCache>
                <c:formatCode>0.00</c:formatCode>
                <c:ptCount val="31"/>
                <c:pt idx="0">
                  <c:v>33.205882352941174</c:v>
                </c:pt>
                <c:pt idx="1">
                  <c:v>30.135135135135137</c:v>
                </c:pt>
                <c:pt idx="2">
                  <c:v>38.512195121951223</c:v>
                </c:pt>
                <c:pt idx="3">
                  <c:v>34.806451612903224</c:v>
                </c:pt>
                <c:pt idx="4">
                  <c:v>34.517241379310342</c:v>
                </c:pt>
                <c:pt idx="5">
                  <c:v>36.575757575757578</c:v>
                </c:pt>
                <c:pt idx="6">
                  <c:v>35.833333333333336</c:v>
                </c:pt>
                <c:pt idx="7">
                  <c:v>35.567567567567565</c:v>
                </c:pt>
                <c:pt idx="8">
                  <c:v>36.333333333333336</c:v>
                </c:pt>
                <c:pt idx="9">
                  <c:v>31.351351351351351</c:v>
                </c:pt>
                <c:pt idx="10">
                  <c:v>31.64516129032258</c:v>
                </c:pt>
                <c:pt idx="11">
                  <c:v>40.200000000000003</c:v>
                </c:pt>
                <c:pt idx="12">
                  <c:v>38</c:v>
                </c:pt>
                <c:pt idx="13">
                  <c:v>30.56</c:v>
                </c:pt>
                <c:pt idx="14">
                  <c:v>34.565217391304351</c:v>
                </c:pt>
                <c:pt idx="15">
                  <c:v>32.902439024390247</c:v>
                </c:pt>
                <c:pt idx="16">
                  <c:v>33.451612903225808</c:v>
                </c:pt>
                <c:pt idx="17">
                  <c:v>36.117647058823529</c:v>
                </c:pt>
                <c:pt idx="18">
                  <c:v>36.322580645161288</c:v>
                </c:pt>
                <c:pt idx="19">
                  <c:v>32.806451612903224</c:v>
                </c:pt>
                <c:pt idx="20">
                  <c:v>37.704545454545453</c:v>
                </c:pt>
                <c:pt idx="21">
                  <c:v>36.534883720930232</c:v>
                </c:pt>
                <c:pt idx="22">
                  <c:v>35.303030303030305</c:v>
                </c:pt>
                <c:pt idx="23">
                  <c:v>41.535714285714285</c:v>
                </c:pt>
                <c:pt idx="24">
                  <c:v>38.147058823529413</c:v>
                </c:pt>
                <c:pt idx="25">
                  <c:v>37.166666666666664</c:v>
                </c:pt>
                <c:pt idx="26">
                  <c:v>33.629629629629626</c:v>
                </c:pt>
                <c:pt idx="27">
                  <c:v>33.130434782608695</c:v>
                </c:pt>
                <c:pt idx="28">
                  <c:v>36.085714285714289</c:v>
                </c:pt>
                <c:pt idx="29">
                  <c:v>33.512820512820511</c:v>
                </c:pt>
                <c:pt idx="30">
                  <c:v>33.733333333333334</c:v>
                </c:pt>
              </c:numCache>
            </c:numRef>
          </c:val>
          <c:extLst>
            <c:ext xmlns:c16="http://schemas.microsoft.com/office/drawing/2014/chart" uri="{C3380CC4-5D6E-409C-BE32-E72D297353CC}">
              <c16:uniqueId val="{00000000-8448-46C5-9669-50885EF2F09A}"/>
            </c:ext>
          </c:extLst>
        </c:ser>
        <c:dLbls>
          <c:showLegendKey val="0"/>
          <c:showVal val="0"/>
          <c:showCatName val="0"/>
          <c:showSerName val="0"/>
          <c:showPercent val="0"/>
          <c:showBubbleSize val="0"/>
        </c:dLbls>
        <c:axId val="1872644559"/>
        <c:axId val="1872642639"/>
      </c:areaChart>
      <c:catAx>
        <c:axId val="1872644559"/>
        <c:scaling>
          <c:orientation val="minMax"/>
        </c:scaling>
        <c:delete val="1"/>
        <c:axPos val="b"/>
        <c:numFmt formatCode="General" sourceLinked="1"/>
        <c:majorTickMark val="out"/>
        <c:minorTickMark val="none"/>
        <c:tickLblPos val="nextTo"/>
        <c:crossAx val="1872642639"/>
        <c:crosses val="autoZero"/>
        <c:auto val="1"/>
        <c:lblAlgn val="ctr"/>
        <c:lblOffset val="100"/>
        <c:noMultiLvlLbl val="0"/>
      </c:catAx>
      <c:valAx>
        <c:axId val="1872642639"/>
        <c:scaling>
          <c:orientation val="minMax"/>
        </c:scaling>
        <c:delete val="1"/>
        <c:axPos val="l"/>
        <c:numFmt formatCode="0.00" sourceLinked="1"/>
        <c:majorTickMark val="none"/>
        <c:minorTickMark val="none"/>
        <c:tickLblPos val="nextTo"/>
        <c:crossAx val="1872644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8840579710145E-2"/>
          <c:y val="8.3333333333333329E-2"/>
          <c:w val="0.95362318840579707"/>
          <c:h val="0.86904761904761907"/>
        </c:manualLayout>
      </c:layout>
      <c:areaChart>
        <c:grouping val="standard"/>
        <c:varyColors val="0"/>
        <c:ser>
          <c:idx val="0"/>
          <c:order val="0"/>
          <c:tx>
            <c:strRef>
              <c:f>Kpi!$B$78</c:f>
              <c:strCache>
                <c:ptCount val="1"/>
                <c:pt idx="0">
                  <c:v>Total</c:v>
                </c:pt>
              </c:strCache>
            </c:strRef>
          </c:tx>
          <c:spPr>
            <a:solidFill>
              <a:schemeClr val="accent6"/>
            </a:solidFill>
            <a:ln>
              <a:noFill/>
            </a:ln>
            <a:effectLst/>
          </c:spPr>
          <c:cat>
            <c:strRef>
              <c:f>Kpi!$A$79:$A$110</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Kpi!$B$79:$B$110</c:f>
              <c:numCache>
                <c:formatCode>0.00</c:formatCode>
                <c:ptCount val="31"/>
                <c:pt idx="0">
                  <c:v>6.8571428571428568</c:v>
                </c:pt>
                <c:pt idx="1">
                  <c:v>4.3636363636363633</c:v>
                </c:pt>
                <c:pt idx="2">
                  <c:v>6.416666666666667</c:v>
                </c:pt>
                <c:pt idx="3">
                  <c:v>5.5384615384615383</c:v>
                </c:pt>
                <c:pt idx="4">
                  <c:v>5</c:v>
                </c:pt>
                <c:pt idx="5">
                  <c:v>4.9090909090909092</c:v>
                </c:pt>
                <c:pt idx="6">
                  <c:v>3.3</c:v>
                </c:pt>
                <c:pt idx="7">
                  <c:v>4.7</c:v>
                </c:pt>
                <c:pt idx="8">
                  <c:v>4.666666666666667</c:v>
                </c:pt>
                <c:pt idx="9">
                  <c:v>4.875</c:v>
                </c:pt>
                <c:pt idx="10">
                  <c:v>5.333333333333333</c:v>
                </c:pt>
                <c:pt idx="11">
                  <c:v>4.125</c:v>
                </c:pt>
                <c:pt idx="12">
                  <c:v>6</c:v>
                </c:pt>
                <c:pt idx="13">
                  <c:v>4.3</c:v>
                </c:pt>
                <c:pt idx="14">
                  <c:v>4.2</c:v>
                </c:pt>
                <c:pt idx="15">
                  <c:v>6.8666666666666663</c:v>
                </c:pt>
                <c:pt idx="16">
                  <c:v>6.2857142857142856</c:v>
                </c:pt>
                <c:pt idx="17">
                  <c:v>4.0909090909090908</c:v>
                </c:pt>
                <c:pt idx="18">
                  <c:v>4</c:v>
                </c:pt>
                <c:pt idx="19">
                  <c:v>5.4285714285714288</c:v>
                </c:pt>
                <c:pt idx="20">
                  <c:v>5.8</c:v>
                </c:pt>
                <c:pt idx="21">
                  <c:v>4.5625</c:v>
                </c:pt>
                <c:pt idx="22">
                  <c:v>4.5454545454545459</c:v>
                </c:pt>
                <c:pt idx="23">
                  <c:v>5.75</c:v>
                </c:pt>
                <c:pt idx="24">
                  <c:v>5.2</c:v>
                </c:pt>
                <c:pt idx="25">
                  <c:v>7.25</c:v>
                </c:pt>
                <c:pt idx="26">
                  <c:v>4.8</c:v>
                </c:pt>
                <c:pt idx="27">
                  <c:v>4.5384615384615383</c:v>
                </c:pt>
                <c:pt idx="28">
                  <c:v>4.5999999999999996</c:v>
                </c:pt>
                <c:pt idx="29">
                  <c:v>5</c:v>
                </c:pt>
                <c:pt idx="30">
                  <c:v>7</c:v>
                </c:pt>
              </c:numCache>
            </c:numRef>
          </c:val>
          <c:extLst>
            <c:ext xmlns:c16="http://schemas.microsoft.com/office/drawing/2014/chart" uri="{C3380CC4-5D6E-409C-BE32-E72D297353CC}">
              <c16:uniqueId val="{00000000-CB38-46AA-BB08-68AA5A91B3E8}"/>
            </c:ext>
          </c:extLst>
        </c:ser>
        <c:dLbls>
          <c:showLegendKey val="0"/>
          <c:showVal val="0"/>
          <c:showCatName val="0"/>
          <c:showSerName val="0"/>
          <c:showPercent val="0"/>
          <c:showBubbleSize val="0"/>
        </c:dLbls>
        <c:axId val="2055521215"/>
        <c:axId val="2055521695"/>
      </c:areaChart>
      <c:catAx>
        <c:axId val="2055521215"/>
        <c:scaling>
          <c:orientation val="minMax"/>
        </c:scaling>
        <c:delete val="1"/>
        <c:axPos val="b"/>
        <c:numFmt formatCode="General" sourceLinked="1"/>
        <c:majorTickMark val="out"/>
        <c:minorTickMark val="none"/>
        <c:tickLblPos val="nextTo"/>
        <c:crossAx val="2055521695"/>
        <c:crosses val="autoZero"/>
        <c:auto val="1"/>
        <c:lblAlgn val="ctr"/>
        <c:lblOffset val="100"/>
        <c:noMultiLvlLbl val="0"/>
      </c:catAx>
      <c:valAx>
        <c:axId val="2055521695"/>
        <c:scaling>
          <c:orientation val="minMax"/>
        </c:scaling>
        <c:delete val="1"/>
        <c:axPos val="l"/>
        <c:numFmt formatCode="0.00" sourceLinked="1"/>
        <c:majorTickMark val="none"/>
        <c:minorTickMark val="none"/>
        <c:tickLblPos val="nextTo"/>
        <c:crossAx val="2055521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Kpi!$B$121</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Kpi!$A$122:$A$130</c:f>
              <c:strCache>
                <c:ptCount val="8"/>
                <c:pt idx="0">
                  <c:v>0-09</c:v>
                </c:pt>
                <c:pt idx="1">
                  <c:v>10-19</c:v>
                </c:pt>
                <c:pt idx="2">
                  <c:v>20-29</c:v>
                </c:pt>
                <c:pt idx="3">
                  <c:v>30-39</c:v>
                </c:pt>
                <c:pt idx="4">
                  <c:v>40-49</c:v>
                </c:pt>
                <c:pt idx="5">
                  <c:v>50-59</c:v>
                </c:pt>
                <c:pt idx="6">
                  <c:v>60-69</c:v>
                </c:pt>
                <c:pt idx="7">
                  <c:v>70-79</c:v>
                </c:pt>
              </c:strCache>
            </c:strRef>
          </c:cat>
          <c:val>
            <c:numRef>
              <c:f>Kpi!$B$122:$B$130</c:f>
              <c:numCache>
                <c:formatCode>0</c:formatCode>
                <c:ptCount val="8"/>
                <c:pt idx="0">
                  <c:v>136</c:v>
                </c:pt>
                <c:pt idx="1">
                  <c:v>113</c:v>
                </c:pt>
                <c:pt idx="2">
                  <c:v>131</c:v>
                </c:pt>
                <c:pt idx="3">
                  <c:v>144</c:v>
                </c:pt>
                <c:pt idx="4">
                  <c:v>121</c:v>
                </c:pt>
                <c:pt idx="5">
                  <c:v>128</c:v>
                </c:pt>
                <c:pt idx="6">
                  <c:v>119</c:v>
                </c:pt>
                <c:pt idx="7">
                  <c:v>107</c:v>
                </c:pt>
              </c:numCache>
            </c:numRef>
          </c:val>
          <c:extLst>
            <c:ext xmlns:c16="http://schemas.microsoft.com/office/drawing/2014/chart" uri="{C3380CC4-5D6E-409C-BE32-E72D297353CC}">
              <c16:uniqueId val="{00000000-DBDD-4C32-A739-22D115114803}"/>
            </c:ext>
          </c:extLst>
        </c:ser>
        <c:dLbls>
          <c:showLegendKey val="0"/>
          <c:showVal val="0"/>
          <c:showCatName val="0"/>
          <c:showSerName val="0"/>
          <c:showPercent val="0"/>
          <c:showBubbleSize val="0"/>
        </c:dLbls>
        <c:gapWidth val="219"/>
        <c:overlap val="-27"/>
        <c:axId val="2051790431"/>
        <c:axId val="1921866911"/>
      </c:barChart>
      <c:catAx>
        <c:axId val="2051790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No.</a:t>
                </a:r>
                <a:r>
                  <a:rPr lang="en-US" b="1" baseline="0">
                    <a:solidFill>
                      <a:schemeClr val="tx1"/>
                    </a:solidFill>
                  </a:rPr>
                  <a:t> of Patient by Age Grp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1866911"/>
        <c:crosses val="autoZero"/>
        <c:auto val="1"/>
        <c:lblAlgn val="ctr"/>
        <c:lblOffset val="100"/>
        <c:noMultiLvlLbl val="0"/>
      </c:catAx>
      <c:valAx>
        <c:axId val="1921866911"/>
        <c:scaling>
          <c:orientation val="minMax"/>
        </c:scaling>
        <c:delete val="1"/>
        <c:axPos val="l"/>
        <c:numFmt formatCode="0" sourceLinked="1"/>
        <c:majorTickMark val="none"/>
        <c:minorTickMark val="none"/>
        <c:tickLblPos val="nextTo"/>
        <c:crossAx val="205179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7100016753225"/>
          <c:y val="3.9603960396039604E-2"/>
          <c:w val="0.61702127659574468"/>
          <c:h val="0.86138613861386137"/>
        </c:manualLayout>
      </c:layout>
      <c:pieChart>
        <c:varyColors val="1"/>
        <c:ser>
          <c:idx val="0"/>
          <c:order val="0"/>
          <c:tx>
            <c:strRef>
              <c:f>Kpi!$B$132</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2E-4681-9B57-1B944818C61D}"/>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2E-4681-9B57-1B944818C6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Kpi!$A$133:$A$135</c:f>
              <c:strCache>
                <c:ptCount val="2"/>
                <c:pt idx="0">
                  <c:v>Delay</c:v>
                </c:pt>
                <c:pt idx="1">
                  <c:v>OnTime</c:v>
                </c:pt>
              </c:strCache>
            </c:strRef>
          </c:cat>
          <c:val>
            <c:numRef>
              <c:f>Kpi!$B$133:$B$135</c:f>
              <c:numCache>
                <c:formatCode>0</c:formatCode>
                <c:ptCount val="2"/>
                <c:pt idx="0">
                  <c:v>591</c:v>
                </c:pt>
                <c:pt idx="1">
                  <c:v>408</c:v>
                </c:pt>
              </c:numCache>
            </c:numRef>
          </c:val>
          <c:extLst>
            <c:ext xmlns:c16="http://schemas.microsoft.com/office/drawing/2014/chart" uri="{C3380CC4-5D6E-409C-BE32-E72D297353CC}">
              <c16:uniqueId val="{00000004-882E-4681-9B57-1B944818C61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502782896818744"/>
          <c:y val="6.5180738546295552E-2"/>
          <c:w val="0.20660337670557138"/>
          <c:h val="0.3613876978249006"/>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[Book1.xlsx]Kpi!PivotTable10</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Kpi!$B$142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C2-4BED-9DB2-6079A801EC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C2-4BED-9DB2-6079A801EC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Kpi!$A$143:$A$145</c:f>
              <c:strCache>
                <c:ptCount val="2"/>
                <c:pt idx="0">
                  <c:v>Female</c:v>
                </c:pt>
                <c:pt idx="1">
                  <c:v>Male</c:v>
                </c:pt>
              </c:strCache>
            </c:strRef>
          </c:cat>
          <c:val>
            <c:numRef>
              <c:f>Kpi!$B$143:$B$145</c:f>
              <c:numCache>
                <c:formatCode>0</c:formatCode>
                <c:ptCount val="2"/>
                <c:pt idx="0">
                  <c:v>515</c:v>
                </c:pt>
                <c:pt idx="1">
                  <c:v>484</c:v>
                </c:pt>
              </c:numCache>
            </c:numRef>
          </c:val>
          <c:extLst>
            <c:ext xmlns:c16="http://schemas.microsoft.com/office/drawing/2014/chart" uri="{C3380CC4-5D6E-409C-BE32-E72D297353CC}">
              <c16:uniqueId val="{00000004-B0C2-4BED-9DB2-6079A801ECD0}"/>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5937242045487807"/>
          <c:y val="5.1979418414282358E-2"/>
          <c:w val="0.21088780259344905"/>
          <c:h val="0.262377796834801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[Book1.xlsx]Kpi!PivotTable11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58180227471563"/>
          <c:y val="5.3571428571428568E-2"/>
          <c:w val="0.76421918065363026"/>
          <c:h val="0.86904761904761907"/>
        </c:manualLayout>
      </c:layout>
      <c:barChart>
        <c:barDir val="bar"/>
        <c:grouping val="clustered"/>
        <c:varyColors val="0"/>
        <c:ser>
          <c:idx val="0"/>
          <c:order val="0"/>
          <c:tx>
            <c:strRef>
              <c:f>Kpi!$B$154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Kpi!$A$155:$A$163</c:f>
              <c:strCache>
                <c:ptCount val="8"/>
                <c:pt idx="0">
                  <c:v>Renal</c:v>
                </c:pt>
                <c:pt idx="1">
                  <c:v>Gastroenterology</c:v>
                </c:pt>
                <c:pt idx="2">
                  <c:v>Cardiology</c:v>
                </c:pt>
                <c:pt idx="3">
                  <c:v>Neurology</c:v>
                </c:pt>
                <c:pt idx="4">
                  <c:v>Physiotherapy</c:v>
                </c:pt>
                <c:pt idx="5">
                  <c:v>Orthopedics</c:v>
                </c:pt>
                <c:pt idx="6">
                  <c:v>General Practice</c:v>
                </c:pt>
              </c:strCache>
            </c:strRef>
          </c:cat>
          <c:val>
            <c:numRef>
              <c:f>Kpi!$B$155:$B$163</c:f>
              <c:numCache>
                <c:formatCode>0</c:formatCode>
                <c:ptCount val="8"/>
                <c:pt idx="0">
                  <c:v>9</c:v>
                </c:pt>
                <c:pt idx="1">
                  <c:v>20</c:v>
                </c:pt>
                <c:pt idx="2">
                  <c:v>23</c:v>
                </c:pt>
                <c:pt idx="3">
                  <c:v>27</c:v>
                </c:pt>
                <c:pt idx="4">
                  <c:v>35</c:v>
                </c:pt>
                <c:pt idx="5">
                  <c:v>86</c:v>
                </c:pt>
                <c:pt idx="6">
                  <c:v>195</c:v>
                </c:pt>
                <c:pt idx="7">
                  <c:v>604</c:v>
                </c:pt>
              </c:numCache>
            </c:numRef>
          </c:val>
          <c:extLst>
            <c:ext xmlns:c16="http://schemas.microsoft.com/office/drawing/2014/chart" uri="{C3380CC4-5D6E-409C-BE32-E72D297353CC}">
              <c16:uniqueId val="{00000000-C5B9-4BC3-9011-0E55D3206849}"/>
            </c:ext>
          </c:extLst>
        </c:ser>
        <c:dLbls>
          <c:dLblPos val="outEnd"/>
          <c:showLegendKey val="0"/>
          <c:showVal val="1"/>
          <c:showCatName val="0"/>
          <c:showSerName val="0"/>
          <c:showPercent val="0"/>
          <c:showBubbleSize val="0"/>
        </c:dLbls>
        <c:gapWidth val="203"/>
        <c:overlap val="50"/>
        <c:axId val="2061554991"/>
        <c:axId val="2061552591"/>
      </c:barChart>
      <c:catAx>
        <c:axId val="206155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1552591"/>
        <c:crosses val="autoZero"/>
        <c:auto val="1"/>
        <c:lblAlgn val="ctr"/>
        <c:lblOffset val="100"/>
        <c:noMultiLvlLbl val="0"/>
      </c:catAx>
      <c:valAx>
        <c:axId val="2061552591"/>
        <c:scaling>
          <c:orientation val="minMax"/>
        </c:scaling>
        <c:delete val="1"/>
        <c:axPos val="b"/>
        <c:numFmt formatCode="0" sourceLinked="1"/>
        <c:majorTickMark val="none"/>
        <c:minorTickMark val="none"/>
        <c:tickLblPos val="nextTo"/>
        <c:crossAx val="206155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Kpi!A1"/><Relationship Id="rId13" Type="http://schemas.openxmlformats.org/officeDocument/2006/relationships/chart" Target="../charts/chart1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svg"/><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6</xdr:row>
      <xdr:rowOff>152400</xdr:rowOff>
    </xdr:from>
    <xdr:to>
      <xdr:col>2</xdr:col>
      <xdr:colOff>1381125</xdr:colOff>
      <xdr:row>20</xdr:row>
      <xdr:rowOff>9525</xdr:rowOff>
    </xdr:to>
    <mc:AlternateContent xmlns:mc="http://schemas.openxmlformats.org/markup-compatibility/2006" xmlns:a14="http://schemas.microsoft.com/office/drawing/2010/main">
      <mc:Choice Requires="a14">
        <xdr:graphicFrame macro="">
          <xdr:nvGraphicFramePr>
            <xdr:cNvPr id="2" name="Column1 (Month)">
              <a:extLst>
                <a:ext uri="{FF2B5EF4-FFF2-40B4-BE49-F238E27FC236}">
                  <a16:creationId xmlns:a16="http://schemas.microsoft.com/office/drawing/2014/main" id="{C67C7E65-30C2-0B4B-0173-418D97D2FA51}"/>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2790825" y="1295400"/>
              <a:ext cx="13239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1514475</xdr:colOff>
      <xdr:row>6</xdr:row>
      <xdr:rowOff>28574</xdr:rowOff>
    </xdr:from>
    <xdr:to>
      <xdr:col>11</xdr:col>
      <xdr:colOff>561975</xdr:colOff>
      <xdr:row>22</xdr:row>
      <xdr:rowOff>114299</xdr:rowOff>
    </xdr:to>
    <xdr:graphicFrame macro="">
      <xdr:nvGraphicFramePr>
        <xdr:cNvPr id="3" name="Chart 2">
          <a:extLst>
            <a:ext uri="{FF2B5EF4-FFF2-40B4-BE49-F238E27FC236}">
              <a16:creationId xmlns:a16="http://schemas.microsoft.com/office/drawing/2014/main" id="{857477D6-872F-1741-62EF-A55AC58B1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171449</xdr:colOff>
      <xdr:row>42</xdr:row>
      <xdr:rowOff>85724</xdr:rowOff>
    </xdr:from>
    <xdr:to>
      <xdr:col>16</xdr:col>
      <xdr:colOff>561974</xdr:colOff>
      <xdr:row>61</xdr:row>
      <xdr:rowOff>0</xdr:rowOff>
    </xdr:to>
    <xdr:graphicFrame macro="">
      <xdr:nvGraphicFramePr>
        <xdr:cNvPr id="4" name="Chart 3">
          <a:extLst>
            <a:ext uri="{FF2B5EF4-FFF2-40B4-BE49-F238E27FC236}">
              <a16:creationId xmlns:a16="http://schemas.microsoft.com/office/drawing/2014/main" id="{6B166098-8EBA-240E-6501-E5E25347D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104774</xdr:colOff>
      <xdr:row>77</xdr:row>
      <xdr:rowOff>57150</xdr:rowOff>
    </xdr:from>
    <xdr:to>
      <xdr:col>13</xdr:col>
      <xdr:colOff>438149</xdr:colOff>
      <xdr:row>92</xdr:row>
      <xdr:rowOff>185737</xdr:rowOff>
    </xdr:to>
    <xdr:graphicFrame macro="">
      <xdr:nvGraphicFramePr>
        <xdr:cNvPr id="5" name="Chart 4">
          <a:extLst>
            <a:ext uri="{FF2B5EF4-FFF2-40B4-BE49-F238E27FC236}">
              <a16:creationId xmlns:a16="http://schemas.microsoft.com/office/drawing/2014/main" id="{DB1A9FB1-ED2D-E396-0B83-FB585E719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9526</xdr:colOff>
      <xdr:row>116</xdr:row>
      <xdr:rowOff>95251</xdr:rowOff>
    </xdr:from>
    <xdr:to>
      <xdr:col>3</xdr:col>
      <xdr:colOff>1447800</xdr:colOff>
      <xdr:row>120</xdr:row>
      <xdr:rowOff>9525</xdr:rowOff>
    </xdr:to>
    <xdr:graphicFrame macro="">
      <xdr:nvGraphicFramePr>
        <xdr:cNvPr id="6" name="Chart 5">
          <a:extLst>
            <a:ext uri="{FF2B5EF4-FFF2-40B4-BE49-F238E27FC236}">
              <a16:creationId xmlns:a16="http://schemas.microsoft.com/office/drawing/2014/main" id="{88426DEE-A558-7DC6-8905-BAA9485CE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209551</xdr:colOff>
      <xdr:row>119</xdr:row>
      <xdr:rowOff>109537</xdr:rowOff>
    </xdr:from>
    <xdr:to>
      <xdr:col>4</xdr:col>
      <xdr:colOff>19051</xdr:colOff>
      <xdr:row>130</xdr:row>
      <xdr:rowOff>66675</xdr:rowOff>
    </xdr:to>
    <xdr:graphicFrame macro="">
      <xdr:nvGraphicFramePr>
        <xdr:cNvPr id="7" name="Chart 6">
          <a:extLst>
            <a:ext uri="{FF2B5EF4-FFF2-40B4-BE49-F238E27FC236}">
              <a16:creationId xmlns:a16="http://schemas.microsoft.com/office/drawing/2014/main" id="{662834D6-9E39-1CC4-F9CF-BA2421CE1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152399</xdr:colOff>
      <xdr:row>131</xdr:row>
      <xdr:rowOff>14287</xdr:rowOff>
    </xdr:from>
    <xdr:to>
      <xdr:col>4</xdr:col>
      <xdr:colOff>228600</xdr:colOff>
      <xdr:row>140</xdr:row>
      <xdr:rowOff>9524</xdr:rowOff>
    </xdr:to>
    <xdr:graphicFrame macro="">
      <xdr:nvGraphicFramePr>
        <xdr:cNvPr id="8" name="Chart 7">
          <a:extLst>
            <a:ext uri="{FF2B5EF4-FFF2-40B4-BE49-F238E27FC236}">
              <a16:creationId xmlns:a16="http://schemas.microsoft.com/office/drawing/2014/main" id="{A15D6586-6148-BA48-7A99-C1F5D9346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390524</xdr:colOff>
      <xdr:row>140</xdr:row>
      <xdr:rowOff>171449</xdr:rowOff>
    </xdr:from>
    <xdr:to>
      <xdr:col>3</xdr:col>
      <xdr:colOff>1028699</xdr:colOff>
      <xdr:row>151</xdr:row>
      <xdr:rowOff>109536</xdr:rowOff>
    </xdr:to>
    <xdr:graphicFrame macro="">
      <xdr:nvGraphicFramePr>
        <xdr:cNvPr id="9" name="Chart 8">
          <a:extLst>
            <a:ext uri="{FF2B5EF4-FFF2-40B4-BE49-F238E27FC236}">
              <a16:creationId xmlns:a16="http://schemas.microsoft.com/office/drawing/2014/main" id="{1479DCF0-BAF9-05A3-EFB3-AADDDD54B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781050</xdr:colOff>
      <xdr:row>153</xdr:row>
      <xdr:rowOff>80962</xdr:rowOff>
    </xdr:from>
    <xdr:to>
      <xdr:col>4</xdr:col>
      <xdr:colOff>1657350</xdr:colOff>
      <xdr:row>167</xdr:row>
      <xdr:rowOff>157162</xdr:rowOff>
    </xdr:to>
    <xdr:graphicFrame macro="">
      <xdr:nvGraphicFramePr>
        <xdr:cNvPr id="10" name="Chart 9">
          <a:extLst>
            <a:ext uri="{FF2B5EF4-FFF2-40B4-BE49-F238E27FC236}">
              <a16:creationId xmlns:a16="http://schemas.microsoft.com/office/drawing/2014/main" id="{399D17E4-B03C-6AE1-6915-AB55F2070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495300</xdr:colOff>
      <xdr:row>169</xdr:row>
      <xdr:rowOff>9526</xdr:rowOff>
    </xdr:from>
    <xdr:to>
      <xdr:col>2</xdr:col>
      <xdr:colOff>466725</xdr:colOff>
      <xdr:row>173</xdr:row>
      <xdr:rowOff>142876</xdr:rowOff>
    </xdr:to>
    <mc:AlternateContent xmlns:mc="http://schemas.openxmlformats.org/markup-compatibility/2006" xmlns:a14="http://schemas.microsoft.com/office/drawing/2010/main">
      <mc:Choice Requires="a14">
        <xdr:graphicFrame macro="">
          <xdr:nvGraphicFramePr>
            <xdr:cNvPr id="11" name="Column1 (Year)">
              <a:extLst>
                <a:ext uri="{FF2B5EF4-FFF2-40B4-BE49-F238E27FC236}">
                  <a16:creationId xmlns:a16="http://schemas.microsoft.com/office/drawing/2014/main" id="{D90A6135-A7FE-2183-206C-318178902EB6}"/>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mlns="">
        <xdr:sp macro="" textlink="">
          <xdr:nvSpPr>
            <xdr:cNvPr id="0" name=""/>
            <xdr:cNvSpPr>
              <a:spLocks noTextEdit="1"/>
            </xdr:cNvSpPr>
          </xdr:nvSpPr>
          <xdr:spPr>
            <a:xfrm>
              <a:off x="1371600" y="32204026"/>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57148</xdr:colOff>
      <xdr:row>0</xdr:row>
      <xdr:rowOff>57150</xdr:rowOff>
    </xdr:from>
    <xdr:to>
      <xdr:col>7</xdr:col>
      <xdr:colOff>590550</xdr:colOff>
      <xdr:row>4</xdr:row>
      <xdr:rowOff>104775</xdr:rowOff>
    </xdr:to>
    <xdr:sp macro="" textlink="">
      <xdr:nvSpPr>
        <xdr:cNvPr id="3" name="Rectangle: Rounded Corners 2">
          <a:extLst>
            <a:ext uri="{FF2B5EF4-FFF2-40B4-BE49-F238E27FC236}">
              <a16:creationId xmlns:a16="http://schemas.microsoft.com/office/drawing/2014/main" id="{369CB6D4-22C3-20ED-94D1-426430F70787}"/>
            </a:ext>
          </a:extLst>
        </xdr:cNvPr>
        <xdr:cNvSpPr/>
      </xdr:nvSpPr>
      <xdr:spPr>
        <a:xfrm>
          <a:off x="57148" y="57150"/>
          <a:ext cx="4800602" cy="8096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baseline="0">
              <a:solidFill>
                <a:schemeClr val="tx1"/>
              </a:solidFill>
            </a:rPr>
            <a:t>              </a:t>
          </a:r>
          <a:r>
            <a:rPr lang="en-US" sz="1600" b="1">
              <a:solidFill>
                <a:schemeClr val="tx1"/>
              </a:solidFill>
            </a:rPr>
            <a:t>Hospital Emergency Room</a:t>
          </a:r>
          <a:r>
            <a:rPr lang="en-US" sz="1600" b="1" baseline="0">
              <a:solidFill>
                <a:schemeClr val="tx1"/>
              </a:solidFill>
            </a:rPr>
            <a:t> Report</a:t>
          </a:r>
        </a:p>
        <a:p>
          <a:pPr algn="ctr"/>
          <a:r>
            <a:rPr lang="en-US" sz="1600" b="1" baseline="0">
              <a:solidFill>
                <a:schemeClr val="tx1"/>
              </a:solidFill>
            </a:rPr>
            <a:t>                    </a:t>
          </a:r>
        </a:p>
        <a:p>
          <a:pPr algn="ctr"/>
          <a:r>
            <a:rPr lang="en-US" sz="1600" b="1" baseline="0">
              <a:solidFill>
                <a:schemeClr val="tx1"/>
              </a:solidFill>
            </a:rPr>
            <a:t>      Monthly Report</a:t>
          </a:r>
          <a:endParaRPr lang="en-US" sz="1600" b="1">
            <a:solidFill>
              <a:schemeClr val="tx1"/>
            </a:solidFill>
          </a:endParaRPr>
        </a:p>
      </xdr:txBody>
    </xdr:sp>
    <xdr:clientData/>
  </xdr:twoCellAnchor>
  <xdr:twoCellAnchor editAs="oneCell">
    <xdr:from>
      <xdr:col>0</xdr:col>
      <xdr:colOff>0</xdr:colOff>
      <xdr:row>0</xdr:row>
      <xdr:rowOff>0</xdr:rowOff>
    </xdr:from>
    <xdr:to>
      <xdr:col>2</xdr:col>
      <xdr:colOff>314325</xdr:colOff>
      <xdr:row>5</xdr:row>
      <xdr:rowOff>9525</xdr:rowOff>
    </xdr:to>
    <xdr:pic>
      <xdr:nvPicPr>
        <xdr:cNvPr id="5" name="Picture 4">
          <a:extLst>
            <a:ext uri="{FF2B5EF4-FFF2-40B4-BE49-F238E27FC236}">
              <a16:creationId xmlns:a16="http://schemas.microsoft.com/office/drawing/2014/main" id="{ACFBCF44-6DEC-C7B9-D219-0EB176F237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8841"/>
        <a:stretch>
          <a:fillRect/>
        </a:stretch>
      </xdr:blipFill>
      <xdr:spPr>
        <a:xfrm>
          <a:off x="0" y="0"/>
          <a:ext cx="1533525" cy="962025"/>
        </a:xfrm>
        <a:prstGeom prst="rect">
          <a:avLst/>
        </a:prstGeom>
      </xdr:spPr>
    </xdr:pic>
    <xdr:clientData/>
  </xdr:twoCellAnchor>
  <xdr:twoCellAnchor>
    <xdr:from>
      <xdr:col>8</xdr:col>
      <xdr:colOff>38100</xdr:colOff>
      <xdr:row>0</xdr:row>
      <xdr:rowOff>57150</xdr:rowOff>
    </xdr:from>
    <xdr:to>
      <xdr:col>11</xdr:col>
      <xdr:colOff>600075</xdr:colOff>
      <xdr:row>4</xdr:row>
      <xdr:rowOff>104774</xdr:rowOff>
    </xdr:to>
    <xdr:sp macro="" textlink="">
      <xdr:nvSpPr>
        <xdr:cNvPr id="8" name="Rectangle: Rounded Corners 7">
          <a:extLst>
            <a:ext uri="{FF2B5EF4-FFF2-40B4-BE49-F238E27FC236}">
              <a16:creationId xmlns:a16="http://schemas.microsoft.com/office/drawing/2014/main" id="{84A76DD4-C6A3-2B94-8DA9-4FE8DC751281}"/>
            </a:ext>
          </a:extLst>
        </xdr:cNvPr>
        <xdr:cNvSpPr/>
      </xdr:nvSpPr>
      <xdr:spPr>
        <a:xfrm>
          <a:off x="4914900" y="57150"/>
          <a:ext cx="2390775" cy="809624"/>
        </a:xfrm>
        <a:prstGeom prst="roundRect">
          <a:avLst>
            <a:gd name="adj" fmla="val 7255"/>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Select Year</a:t>
          </a:r>
        </a:p>
      </xdr:txBody>
    </xdr:sp>
    <xdr:clientData/>
  </xdr:twoCellAnchor>
  <xdr:twoCellAnchor>
    <xdr:from>
      <xdr:col>2</xdr:col>
      <xdr:colOff>504825</xdr:colOff>
      <xdr:row>2</xdr:row>
      <xdr:rowOff>161924</xdr:rowOff>
    </xdr:from>
    <xdr:to>
      <xdr:col>7</xdr:col>
      <xdr:colOff>361950</xdr:colOff>
      <xdr:row>4</xdr:row>
      <xdr:rowOff>95249</xdr:rowOff>
    </xdr:to>
    <xdr:sp macro="" textlink="">
      <xdr:nvSpPr>
        <xdr:cNvPr id="9" name="TextBox 8">
          <a:extLst>
            <a:ext uri="{FF2B5EF4-FFF2-40B4-BE49-F238E27FC236}">
              <a16:creationId xmlns:a16="http://schemas.microsoft.com/office/drawing/2014/main" id="{BEC89545-47F2-E335-C0B2-3AA76271BDDA}"/>
            </a:ext>
          </a:extLst>
        </xdr:cNvPr>
        <xdr:cNvSpPr txBox="1"/>
      </xdr:nvSpPr>
      <xdr:spPr>
        <a:xfrm>
          <a:off x="1724025" y="542924"/>
          <a:ext cx="2905125" cy="3143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Monthly Report</a:t>
          </a:r>
        </a:p>
      </xdr:txBody>
    </xdr:sp>
    <xdr:clientData/>
  </xdr:twoCellAnchor>
  <xdr:twoCellAnchor>
    <xdr:from>
      <xdr:col>0</xdr:col>
      <xdr:colOff>47625</xdr:colOff>
      <xdr:row>4</xdr:row>
      <xdr:rowOff>152400</xdr:rowOff>
    </xdr:from>
    <xdr:to>
      <xdr:col>1</xdr:col>
      <xdr:colOff>504825</xdr:colOff>
      <xdr:row>22</xdr:row>
      <xdr:rowOff>133350</xdr:rowOff>
    </xdr:to>
    <xdr:sp macro="" textlink="">
      <xdr:nvSpPr>
        <xdr:cNvPr id="10" name="Rectangle: Rounded Corners 9">
          <a:extLst>
            <a:ext uri="{FF2B5EF4-FFF2-40B4-BE49-F238E27FC236}">
              <a16:creationId xmlns:a16="http://schemas.microsoft.com/office/drawing/2014/main" id="{444764B3-5539-EC85-91BF-BE899203F8F0}"/>
            </a:ext>
          </a:extLst>
        </xdr:cNvPr>
        <xdr:cNvSpPr/>
      </xdr:nvSpPr>
      <xdr:spPr>
        <a:xfrm>
          <a:off x="47625" y="914400"/>
          <a:ext cx="1066800" cy="3409950"/>
        </a:xfrm>
        <a:prstGeom prst="roundRect">
          <a:avLst>
            <a:gd name="adj" fmla="val 6846"/>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552450</xdr:colOff>
      <xdr:row>4</xdr:row>
      <xdr:rowOff>152400</xdr:rowOff>
    </xdr:from>
    <xdr:to>
      <xdr:col>5</xdr:col>
      <xdr:colOff>123825</xdr:colOff>
      <xdr:row>9</xdr:row>
      <xdr:rowOff>152400</xdr:rowOff>
    </xdr:to>
    <xdr:sp macro="" textlink="Kpi!A3">
      <xdr:nvSpPr>
        <xdr:cNvPr id="12" name="Rectangle: Rounded Corners 11">
          <a:extLst>
            <a:ext uri="{FF2B5EF4-FFF2-40B4-BE49-F238E27FC236}">
              <a16:creationId xmlns:a16="http://schemas.microsoft.com/office/drawing/2014/main" id="{D3203168-EE92-4511-22EE-5E2F209132E6}"/>
            </a:ext>
          </a:extLst>
        </xdr:cNvPr>
        <xdr:cNvSpPr/>
      </xdr:nvSpPr>
      <xdr:spPr>
        <a:xfrm>
          <a:off x="1162050" y="914400"/>
          <a:ext cx="2009775" cy="952500"/>
        </a:xfrm>
        <a:prstGeom prst="roundRect">
          <a:avLst>
            <a:gd name="adj" fmla="val 667"/>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792475-7E03-4077-9DF2-BA2243A5BCC3}" type="TxLink">
            <a:rPr lang="en-US" sz="1600" b="1" i="0" u="none" strike="noStrike">
              <a:solidFill>
                <a:srgbClr val="000000"/>
              </a:solidFill>
              <a:latin typeface="Calibri"/>
              <a:cs typeface="Calibri"/>
            </a:rPr>
            <a:pPr algn="ctr"/>
            <a:t>999</a:t>
          </a:fld>
          <a:endParaRPr lang="en-US" sz="1600" b="1"/>
        </a:p>
      </xdr:txBody>
    </xdr:sp>
    <xdr:clientData/>
  </xdr:twoCellAnchor>
  <xdr:twoCellAnchor>
    <xdr:from>
      <xdr:col>5</xdr:col>
      <xdr:colOff>190500</xdr:colOff>
      <xdr:row>4</xdr:row>
      <xdr:rowOff>152399</xdr:rowOff>
    </xdr:from>
    <xdr:to>
      <xdr:col>8</xdr:col>
      <xdr:colOff>373380</xdr:colOff>
      <xdr:row>9</xdr:row>
      <xdr:rowOff>150875</xdr:rowOff>
    </xdr:to>
    <xdr:sp macro="" textlink="Kpi!C3">
      <xdr:nvSpPr>
        <xdr:cNvPr id="13" name="Rectangle: Rounded Corners 12">
          <a:extLst>
            <a:ext uri="{FF2B5EF4-FFF2-40B4-BE49-F238E27FC236}">
              <a16:creationId xmlns:a16="http://schemas.microsoft.com/office/drawing/2014/main" id="{EBB1653E-762B-5049-AE52-64F38F7297D5}"/>
            </a:ext>
          </a:extLst>
        </xdr:cNvPr>
        <xdr:cNvSpPr/>
      </xdr:nvSpPr>
      <xdr:spPr>
        <a:xfrm>
          <a:off x="3238500" y="914399"/>
          <a:ext cx="2011680" cy="950976"/>
        </a:xfrm>
        <a:prstGeom prst="roundRect">
          <a:avLst>
            <a:gd name="adj" fmla="val 2645"/>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baseline="0">
              <a:solidFill>
                <a:srgbClr val="000000"/>
              </a:solidFill>
              <a:latin typeface="Calibri"/>
              <a:cs typeface="Calibri"/>
            </a:rPr>
            <a:t>          </a:t>
          </a:r>
          <a:fld id="{EAF31244-8AB5-4CC3-B41C-409B4DBE9F1F}" type="TxLink">
            <a:rPr lang="en-US" sz="1600" b="1" i="0" u="none" strike="noStrike">
              <a:solidFill>
                <a:srgbClr val="000000"/>
              </a:solidFill>
              <a:latin typeface="Calibri"/>
              <a:cs typeface="Calibri"/>
            </a:rPr>
            <a:pPr algn="l"/>
            <a:t>36.32</a:t>
          </a:fld>
          <a:endParaRPr lang="en-US" sz="1600" b="1"/>
        </a:p>
      </xdr:txBody>
    </xdr:sp>
    <xdr:clientData/>
  </xdr:twoCellAnchor>
  <xdr:twoCellAnchor>
    <xdr:from>
      <xdr:col>8</xdr:col>
      <xdr:colOff>428625</xdr:colOff>
      <xdr:row>4</xdr:row>
      <xdr:rowOff>133350</xdr:rowOff>
    </xdr:from>
    <xdr:to>
      <xdr:col>12</xdr:col>
      <xdr:colOff>1905</xdr:colOff>
      <xdr:row>9</xdr:row>
      <xdr:rowOff>131826</xdr:rowOff>
    </xdr:to>
    <xdr:sp macro="" textlink="Kpi!E3">
      <xdr:nvSpPr>
        <xdr:cNvPr id="14" name="Rectangle: Rounded Corners 13">
          <a:extLst>
            <a:ext uri="{FF2B5EF4-FFF2-40B4-BE49-F238E27FC236}">
              <a16:creationId xmlns:a16="http://schemas.microsoft.com/office/drawing/2014/main" id="{6CBB270F-5E1B-FC6F-3D28-DB4EC0A58D99}"/>
            </a:ext>
          </a:extLst>
        </xdr:cNvPr>
        <xdr:cNvSpPr/>
      </xdr:nvSpPr>
      <xdr:spPr>
        <a:xfrm>
          <a:off x="5305425" y="895350"/>
          <a:ext cx="2011680" cy="950976"/>
        </a:xfrm>
        <a:prstGeom prst="roundRect">
          <a:avLst>
            <a:gd name="adj" fmla="val 1643"/>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rgbClr val="000000"/>
              </a:solidFill>
              <a:latin typeface="Calibri"/>
              <a:cs typeface="Calibri"/>
            </a:rPr>
            <a:t>           </a:t>
          </a:r>
          <a:fld id="{A54DF55E-F22A-452B-9ED2-B59264A94CE4}" type="TxLink">
            <a:rPr lang="en-US" sz="1600" b="1" i="0" u="none" strike="noStrike">
              <a:solidFill>
                <a:srgbClr val="000000"/>
              </a:solidFill>
              <a:latin typeface="Calibri"/>
              <a:cs typeface="Calibri"/>
            </a:rPr>
            <a:pPr algn="l"/>
            <a:t>4.96</a:t>
          </a:fld>
          <a:endParaRPr lang="en-US" sz="1600" b="1"/>
        </a:p>
      </xdr:txBody>
    </xdr:sp>
    <xdr:clientData/>
  </xdr:twoCellAnchor>
  <xdr:twoCellAnchor>
    <xdr:from>
      <xdr:col>2</xdr:col>
      <xdr:colOff>66676</xdr:colOff>
      <xdr:row>6</xdr:row>
      <xdr:rowOff>66676</xdr:rowOff>
    </xdr:from>
    <xdr:to>
      <xdr:col>4</xdr:col>
      <xdr:colOff>581025</xdr:colOff>
      <xdr:row>7</xdr:row>
      <xdr:rowOff>114300</xdr:rowOff>
    </xdr:to>
    <xdr:sp macro="" textlink="">
      <xdr:nvSpPr>
        <xdr:cNvPr id="15" name="TextBox 14">
          <a:extLst>
            <a:ext uri="{FF2B5EF4-FFF2-40B4-BE49-F238E27FC236}">
              <a16:creationId xmlns:a16="http://schemas.microsoft.com/office/drawing/2014/main" id="{57785D2A-98D4-0E01-7BC0-92A3F90C33BB}"/>
            </a:ext>
          </a:extLst>
        </xdr:cNvPr>
        <xdr:cNvSpPr txBox="1"/>
      </xdr:nvSpPr>
      <xdr:spPr>
        <a:xfrm>
          <a:off x="1285876" y="1209676"/>
          <a:ext cx="1733549" cy="23812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No.</a:t>
          </a:r>
          <a:r>
            <a:rPr lang="en-US" sz="1200" b="0" baseline="0"/>
            <a:t> of Patients</a:t>
          </a:r>
          <a:endParaRPr lang="en-US" sz="1200" b="0"/>
        </a:p>
      </xdr:txBody>
    </xdr:sp>
    <xdr:clientData/>
  </xdr:twoCellAnchor>
  <xdr:twoCellAnchor editAs="oneCell">
    <xdr:from>
      <xdr:col>4</xdr:col>
      <xdr:colOff>276226</xdr:colOff>
      <xdr:row>4</xdr:row>
      <xdr:rowOff>171450</xdr:rowOff>
    </xdr:from>
    <xdr:to>
      <xdr:col>5</xdr:col>
      <xdr:colOff>104776</xdr:colOff>
      <xdr:row>6</xdr:row>
      <xdr:rowOff>123825</xdr:rowOff>
    </xdr:to>
    <xdr:pic>
      <xdr:nvPicPr>
        <xdr:cNvPr id="17" name="Graphic 16" descr="User with solid fill">
          <a:extLst>
            <a:ext uri="{FF2B5EF4-FFF2-40B4-BE49-F238E27FC236}">
              <a16:creationId xmlns:a16="http://schemas.microsoft.com/office/drawing/2014/main" id="{C6009426-AA2F-9EFE-8D36-AEF6AC5CD99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14626" y="933450"/>
          <a:ext cx="438150" cy="333375"/>
        </a:xfrm>
        <a:prstGeom prst="rect">
          <a:avLst/>
        </a:prstGeom>
      </xdr:spPr>
    </xdr:pic>
    <xdr:clientData/>
  </xdr:twoCellAnchor>
  <xdr:twoCellAnchor editAs="oneCell">
    <xdr:from>
      <xdr:col>7</xdr:col>
      <xdr:colOff>361951</xdr:colOff>
      <xdr:row>4</xdr:row>
      <xdr:rowOff>171450</xdr:rowOff>
    </xdr:from>
    <xdr:to>
      <xdr:col>8</xdr:col>
      <xdr:colOff>361951</xdr:colOff>
      <xdr:row>6</xdr:row>
      <xdr:rowOff>104775</xdr:rowOff>
    </xdr:to>
    <xdr:pic>
      <xdr:nvPicPr>
        <xdr:cNvPr id="19" name="Graphic 18" descr="Hourglass Finished with solid fill">
          <a:extLst>
            <a:ext uri="{FF2B5EF4-FFF2-40B4-BE49-F238E27FC236}">
              <a16:creationId xmlns:a16="http://schemas.microsoft.com/office/drawing/2014/main" id="{B87F71F1-72DD-8C65-F70E-9BE75D77995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29151" y="933450"/>
          <a:ext cx="609600" cy="314325"/>
        </a:xfrm>
        <a:prstGeom prst="rect">
          <a:avLst/>
        </a:prstGeom>
      </xdr:spPr>
    </xdr:pic>
    <xdr:clientData/>
  </xdr:twoCellAnchor>
  <xdr:twoCellAnchor>
    <xdr:from>
      <xdr:col>5</xdr:col>
      <xdr:colOff>228600</xdr:colOff>
      <xdr:row>6</xdr:row>
      <xdr:rowOff>66675</xdr:rowOff>
    </xdr:from>
    <xdr:to>
      <xdr:col>8</xdr:col>
      <xdr:colOff>323850</xdr:colOff>
      <xdr:row>7</xdr:row>
      <xdr:rowOff>180975</xdr:rowOff>
    </xdr:to>
    <xdr:sp macro="" textlink="">
      <xdr:nvSpPr>
        <xdr:cNvPr id="20" name="TextBox 19">
          <a:extLst>
            <a:ext uri="{FF2B5EF4-FFF2-40B4-BE49-F238E27FC236}">
              <a16:creationId xmlns:a16="http://schemas.microsoft.com/office/drawing/2014/main" id="{0A9B7DBF-08D2-4CA8-A433-13F1ABA297A0}"/>
            </a:ext>
          </a:extLst>
        </xdr:cNvPr>
        <xdr:cNvSpPr txBox="1"/>
      </xdr:nvSpPr>
      <xdr:spPr>
        <a:xfrm>
          <a:off x="3276600" y="1209675"/>
          <a:ext cx="1924050" cy="3048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AVG.</a:t>
          </a:r>
          <a:r>
            <a:rPr lang="en-US" sz="1200" baseline="0"/>
            <a:t> Waiting Time (Min)</a:t>
          </a:r>
          <a:endParaRPr lang="en-US" sz="1200"/>
        </a:p>
      </xdr:txBody>
    </xdr:sp>
    <xdr:clientData/>
  </xdr:twoCellAnchor>
  <xdr:twoCellAnchor editAs="oneCell">
    <xdr:from>
      <xdr:col>11</xdr:col>
      <xdr:colOff>152400</xdr:colOff>
      <xdr:row>4</xdr:row>
      <xdr:rowOff>161926</xdr:rowOff>
    </xdr:from>
    <xdr:to>
      <xdr:col>11</xdr:col>
      <xdr:colOff>572262</xdr:colOff>
      <xdr:row>6</xdr:row>
      <xdr:rowOff>85725</xdr:rowOff>
    </xdr:to>
    <xdr:pic>
      <xdr:nvPicPr>
        <xdr:cNvPr id="22" name="Graphic 21" descr="Customer review with solid fill">
          <a:extLst>
            <a:ext uri="{FF2B5EF4-FFF2-40B4-BE49-F238E27FC236}">
              <a16:creationId xmlns:a16="http://schemas.microsoft.com/office/drawing/2014/main" id="{DC6A7D94-FA69-65B4-A55A-BB8A6CB43FE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58000" y="923926"/>
          <a:ext cx="419862" cy="304799"/>
        </a:xfrm>
        <a:prstGeom prst="rect">
          <a:avLst/>
        </a:prstGeom>
      </xdr:spPr>
    </xdr:pic>
    <xdr:clientData/>
  </xdr:twoCellAnchor>
  <xdr:twoCellAnchor>
    <xdr:from>
      <xdr:col>8</xdr:col>
      <xdr:colOff>447676</xdr:colOff>
      <xdr:row>6</xdr:row>
      <xdr:rowOff>47625</xdr:rowOff>
    </xdr:from>
    <xdr:to>
      <xdr:col>11</xdr:col>
      <xdr:colOff>447676</xdr:colOff>
      <xdr:row>7</xdr:row>
      <xdr:rowOff>57150</xdr:rowOff>
    </xdr:to>
    <xdr:sp macro="" textlink="">
      <xdr:nvSpPr>
        <xdr:cNvPr id="23" name="TextBox 22">
          <a:extLst>
            <a:ext uri="{FF2B5EF4-FFF2-40B4-BE49-F238E27FC236}">
              <a16:creationId xmlns:a16="http://schemas.microsoft.com/office/drawing/2014/main" id="{4658F979-4238-9AB3-5878-0AA3AED31BB7}"/>
            </a:ext>
          </a:extLst>
        </xdr:cNvPr>
        <xdr:cNvSpPr txBox="1"/>
      </xdr:nvSpPr>
      <xdr:spPr>
        <a:xfrm>
          <a:off x="5324476" y="1190625"/>
          <a:ext cx="1828800" cy="2000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Patients Satisfaction</a:t>
          </a:r>
          <a:r>
            <a:rPr lang="en-US" sz="1200" baseline="0"/>
            <a:t> Score</a:t>
          </a:r>
          <a:endParaRPr lang="en-US" sz="1200"/>
        </a:p>
      </xdr:txBody>
    </xdr:sp>
    <xdr:clientData/>
  </xdr:twoCellAnchor>
  <xdr:twoCellAnchor>
    <xdr:from>
      <xdr:col>1</xdr:col>
      <xdr:colOff>552450</xdr:colOff>
      <xdr:row>10</xdr:row>
      <xdr:rowOff>9525</xdr:rowOff>
    </xdr:from>
    <xdr:to>
      <xdr:col>12</xdr:col>
      <xdr:colOff>19050</xdr:colOff>
      <xdr:row>14</xdr:row>
      <xdr:rowOff>19050</xdr:rowOff>
    </xdr:to>
    <xdr:sp macro="" textlink="">
      <xdr:nvSpPr>
        <xdr:cNvPr id="24" name="Rectangle: Rounded Corners 23">
          <a:extLst>
            <a:ext uri="{FF2B5EF4-FFF2-40B4-BE49-F238E27FC236}">
              <a16:creationId xmlns:a16="http://schemas.microsoft.com/office/drawing/2014/main" id="{D768B056-DD96-8689-8731-66CF1FAF9A69}"/>
            </a:ext>
          </a:extLst>
        </xdr:cNvPr>
        <xdr:cNvSpPr/>
      </xdr:nvSpPr>
      <xdr:spPr>
        <a:xfrm>
          <a:off x="1162050" y="1914525"/>
          <a:ext cx="6172200" cy="771525"/>
        </a:xfrm>
        <a:prstGeom prst="roundRect">
          <a:avLst>
            <a:gd name="adj" fmla="val 13370"/>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561975</xdr:colOff>
      <xdr:row>14</xdr:row>
      <xdr:rowOff>76200</xdr:rowOff>
    </xdr:from>
    <xdr:to>
      <xdr:col>12</xdr:col>
      <xdr:colOff>47625</xdr:colOff>
      <xdr:row>22</xdr:row>
      <xdr:rowOff>123825</xdr:rowOff>
    </xdr:to>
    <xdr:sp macro="" textlink="">
      <xdr:nvSpPr>
        <xdr:cNvPr id="25" name="Rectangle: Rounded Corners 24">
          <a:extLst>
            <a:ext uri="{FF2B5EF4-FFF2-40B4-BE49-F238E27FC236}">
              <a16:creationId xmlns:a16="http://schemas.microsoft.com/office/drawing/2014/main" id="{166DA510-1A83-F6A9-CBD6-96B9976D34A6}"/>
            </a:ext>
          </a:extLst>
        </xdr:cNvPr>
        <xdr:cNvSpPr/>
      </xdr:nvSpPr>
      <xdr:spPr>
        <a:xfrm>
          <a:off x="1171575" y="2743200"/>
          <a:ext cx="6191250" cy="1571625"/>
        </a:xfrm>
        <a:prstGeom prst="roundRect">
          <a:avLst>
            <a:gd name="adj" fmla="val 5548"/>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66676</xdr:colOff>
      <xdr:row>0</xdr:row>
      <xdr:rowOff>19050</xdr:rowOff>
    </xdr:from>
    <xdr:to>
      <xdr:col>16</xdr:col>
      <xdr:colOff>325756</xdr:colOff>
      <xdr:row>10</xdr:row>
      <xdr:rowOff>16002</xdr:rowOff>
    </xdr:to>
    <xdr:sp macro="" textlink="">
      <xdr:nvSpPr>
        <xdr:cNvPr id="26" name="Rectangle: Rounded Corners 25">
          <a:extLst>
            <a:ext uri="{FF2B5EF4-FFF2-40B4-BE49-F238E27FC236}">
              <a16:creationId xmlns:a16="http://schemas.microsoft.com/office/drawing/2014/main" id="{C293B8D8-9C9A-A7F5-F797-2D79D0EFAA3A}"/>
            </a:ext>
          </a:extLst>
        </xdr:cNvPr>
        <xdr:cNvSpPr/>
      </xdr:nvSpPr>
      <xdr:spPr>
        <a:xfrm>
          <a:off x="7381876" y="19050"/>
          <a:ext cx="2697480" cy="1901952"/>
        </a:xfrm>
        <a:prstGeom prst="roundRect">
          <a:avLst>
            <a:gd name="adj" fmla="val 9337"/>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390524</xdr:colOff>
      <xdr:row>0</xdr:row>
      <xdr:rowOff>47625</xdr:rowOff>
    </xdr:from>
    <xdr:to>
      <xdr:col>21</xdr:col>
      <xdr:colOff>0</xdr:colOff>
      <xdr:row>10</xdr:row>
      <xdr:rowOff>47625</xdr:rowOff>
    </xdr:to>
    <xdr:sp macro="" textlink="">
      <xdr:nvSpPr>
        <xdr:cNvPr id="27" name="Rectangle: Rounded Corners 26">
          <a:extLst>
            <a:ext uri="{FF2B5EF4-FFF2-40B4-BE49-F238E27FC236}">
              <a16:creationId xmlns:a16="http://schemas.microsoft.com/office/drawing/2014/main" id="{9ED71EE2-0B8B-0AFC-C9D6-011A80659111}"/>
            </a:ext>
          </a:extLst>
        </xdr:cNvPr>
        <xdr:cNvSpPr/>
      </xdr:nvSpPr>
      <xdr:spPr>
        <a:xfrm>
          <a:off x="10144124" y="47625"/>
          <a:ext cx="2657476" cy="1905000"/>
        </a:xfrm>
        <a:prstGeom prst="roundRect">
          <a:avLst>
            <a:gd name="adj" fmla="val 10751"/>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104775</xdr:colOff>
      <xdr:row>10</xdr:row>
      <xdr:rowOff>95250</xdr:rowOff>
    </xdr:from>
    <xdr:to>
      <xdr:col>20</xdr:col>
      <xdr:colOff>600075</xdr:colOff>
      <xdr:row>22</xdr:row>
      <xdr:rowOff>142875</xdr:rowOff>
    </xdr:to>
    <xdr:sp macro="" textlink="">
      <xdr:nvSpPr>
        <xdr:cNvPr id="28" name="Rectangle: Rounded Corners 27">
          <a:extLst>
            <a:ext uri="{FF2B5EF4-FFF2-40B4-BE49-F238E27FC236}">
              <a16:creationId xmlns:a16="http://schemas.microsoft.com/office/drawing/2014/main" id="{1975A28B-3F56-3809-3B5C-5711D83EBBD2}"/>
            </a:ext>
          </a:extLst>
        </xdr:cNvPr>
        <xdr:cNvSpPr/>
      </xdr:nvSpPr>
      <xdr:spPr>
        <a:xfrm>
          <a:off x="7419975" y="2000250"/>
          <a:ext cx="5372100" cy="2333625"/>
        </a:xfrm>
        <a:prstGeom prst="roundRect">
          <a:avLst>
            <a:gd name="adj" fmla="val 3885"/>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95250</xdr:colOff>
      <xdr:row>5</xdr:row>
      <xdr:rowOff>1</xdr:rowOff>
    </xdr:from>
    <xdr:to>
      <xdr:col>1</xdr:col>
      <xdr:colOff>476249</xdr:colOff>
      <xdr:row>22</xdr:row>
      <xdr:rowOff>104775</xdr:rowOff>
    </xdr:to>
    <mc:AlternateContent xmlns:mc="http://schemas.openxmlformats.org/markup-compatibility/2006" xmlns:a14="http://schemas.microsoft.com/office/drawing/2010/main">
      <mc:Choice Requires="a14">
        <xdr:graphicFrame macro="">
          <xdr:nvGraphicFramePr>
            <xdr:cNvPr id="29" name="Column1 (Month) 1">
              <a:extLst>
                <a:ext uri="{FF2B5EF4-FFF2-40B4-BE49-F238E27FC236}">
                  <a16:creationId xmlns:a16="http://schemas.microsoft.com/office/drawing/2014/main" id="{572B0844-7329-46C0-9E4F-8FF24E747BCD}"/>
                </a:ext>
              </a:extLst>
            </xdr:cNvPr>
            <xdr:cNvGraphicFramePr/>
          </xdr:nvGraphicFramePr>
          <xdr:xfrm>
            <a:off x="0" y="0"/>
            <a:ext cx="0" cy="0"/>
          </xdr:xfrm>
          <a:graphic>
            <a:graphicData uri="http://schemas.microsoft.com/office/drawing/2010/slicer">
              <sle:slicer xmlns:sle="http://schemas.microsoft.com/office/drawing/2010/slicer" name="Column1 (Month) 1"/>
            </a:graphicData>
          </a:graphic>
        </xdr:graphicFrame>
      </mc:Choice>
      <mc:Fallback xmlns="">
        <xdr:sp macro="" textlink="">
          <xdr:nvSpPr>
            <xdr:cNvPr id="0" name=""/>
            <xdr:cNvSpPr>
              <a:spLocks noTextEdit="1"/>
            </xdr:cNvSpPr>
          </xdr:nvSpPr>
          <xdr:spPr>
            <a:xfrm>
              <a:off x="95250" y="952501"/>
              <a:ext cx="990599" cy="3343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466725</xdr:colOff>
      <xdr:row>6</xdr:row>
      <xdr:rowOff>66675</xdr:rowOff>
    </xdr:from>
    <xdr:to>
      <xdr:col>5</xdr:col>
      <xdr:colOff>209550</xdr:colOff>
      <xdr:row>11</xdr:row>
      <xdr:rowOff>142874</xdr:rowOff>
    </xdr:to>
    <xdr:graphicFrame macro="">
      <xdr:nvGraphicFramePr>
        <xdr:cNvPr id="30" name="Chart 29">
          <a:hlinkClick xmlns:r="http://schemas.openxmlformats.org/officeDocument/2006/relationships" r:id="rId8"/>
          <a:extLst>
            <a:ext uri="{FF2B5EF4-FFF2-40B4-BE49-F238E27FC236}">
              <a16:creationId xmlns:a16="http://schemas.microsoft.com/office/drawing/2014/main" id="{648E0F05-B597-46B0-8438-61A45C245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85726</xdr:colOff>
      <xdr:row>6</xdr:row>
      <xdr:rowOff>85725</xdr:rowOff>
    </xdr:from>
    <xdr:to>
      <xdr:col>8</xdr:col>
      <xdr:colOff>485776</xdr:colOff>
      <xdr:row>10</xdr:row>
      <xdr:rowOff>76200</xdr:rowOff>
    </xdr:to>
    <xdr:graphicFrame macro="">
      <xdr:nvGraphicFramePr>
        <xdr:cNvPr id="32" name="Chart 31">
          <a:hlinkClick xmlns:r="http://schemas.openxmlformats.org/officeDocument/2006/relationships" r:id="rId8"/>
          <a:extLst>
            <a:ext uri="{FF2B5EF4-FFF2-40B4-BE49-F238E27FC236}">
              <a16:creationId xmlns:a16="http://schemas.microsoft.com/office/drawing/2014/main" id="{9058FB69-B415-41BE-ACBC-167819F5C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409574</xdr:colOff>
      <xdr:row>4</xdr:row>
      <xdr:rowOff>161926</xdr:rowOff>
    </xdr:from>
    <xdr:to>
      <xdr:col>12</xdr:col>
      <xdr:colOff>38099</xdr:colOff>
      <xdr:row>9</xdr:row>
      <xdr:rowOff>161926</xdr:rowOff>
    </xdr:to>
    <xdr:graphicFrame macro="">
      <xdr:nvGraphicFramePr>
        <xdr:cNvPr id="33" name="Chart 32">
          <a:hlinkClick xmlns:r="http://schemas.openxmlformats.org/officeDocument/2006/relationships" r:id="rId8"/>
          <a:extLst>
            <a:ext uri="{FF2B5EF4-FFF2-40B4-BE49-F238E27FC236}">
              <a16:creationId xmlns:a16="http://schemas.microsoft.com/office/drawing/2014/main" id="{2A67DDDE-1E35-430F-8D64-0A9268281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581025</xdr:colOff>
      <xdr:row>10</xdr:row>
      <xdr:rowOff>57150</xdr:rowOff>
    </xdr:from>
    <xdr:to>
      <xdr:col>11</xdr:col>
      <xdr:colOff>590550</xdr:colOff>
      <xdr:row>13</xdr:row>
      <xdr:rowOff>180975</xdr:rowOff>
    </xdr:to>
    <xdr:pic>
      <xdr:nvPicPr>
        <xdr:cNvPr id="35" name="Picture 34">
          <a:extLst>
            <a:ext uri="{FF2B5EF4-FFF2-40B4-BE49-F238E27FC236}">
              <a16:creationId xmlns:a16="http://schemas.microsoft.com/office/drawing/2014/main" id="{54FE193F-3222-46C5-09F1-DCA213EDE18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190625" y="1962150"/>
          <a:ext cx="6105525"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600076</xdr:colOff>
      <xdr:row>14</xdr:row>
      <xdr:rowOff>142875</xdr:rowOff>
    </xdr:from>
    <xdr:to>
      <xdr:col>12</xdr:col>
      <xdr:colOff>38100</xdr:colOff>
      <xdr:row>22</xdr:row>
      <xdr:rowOff>161925</xdr:rowOff>
    </xdr:to>
    <xdr:graphicFrame macro="">
      <xdr:nvGraphicFramePr>
        <xdr:cNvPr id="37" name="Chart 36">
          <a:extLst>
            <a:ext uri="{FF2B5EF4-FFF2-40B4-BE49-F238E27FC236}">
              <a16:creationId xmlns:a16="http://schemas.microsoft.com/office/drawing/2014/main" id="{A763A178-93FB-4BB4-B2F1-8676E3351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495300</xdr:colOff>
      <xdr:row>0</xdr:row>
      <xdr:rowOff>0</xdr:rowOff>
    </xdr:from>
    <xdr:to>
      <xdr:col>16</xdr:col>
      <xdr:colOff>133350</xdr:colOff>
      <xdr:row>10</xdr:row>
      <xdr:rowOff>19050</xdr:rowOff>
    </xdr:to>
    <xdr:graphicFrame macro="">
      <xdr:nvGraphicFramePr>
        <xdr:cNvPr id="38" name="Chart 37">
          <a:extLst>
            <a:ext uri="{FF2B5EF4-FFF2-40B4-BE49-F238E27FC236}">
              <a16:creationId xmlns:a16="http://schemas.microsoft.com/office/drawing/2014/main" id="{C73E1931-43C8-457A-8857-718E6BE61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561976</xdr:colOff>
      <xdr:row>9</xdr:row>
      <xdr:rowOff>0</xdr:rowOff>
    </xdr:from>
    <xdr:to>
      <xdr:col>15</xdr:col>
      <xdr:colOff>361950</xdr:colOff>
      <xdr:row>10</xdr:row>
      <xdr:rowOff>0</xdr:rowOff>
    </xdr:to>
    <xdr:sp macro="" textlink="">
      <xdr:nvSpPr>
        <xdr:cNvPr id="39" name="TextBox 38">
          <a:extLst>
            <a:ext uri="{FF2B5EF4-FFF2-40B4-BE49-F238E27FC236}">
              <a16:creationId xmlns:a16="http://schemas.microsoft.com/office/drawing/2014/main" id="{7A75FE45-C837-9CFD-1CC0-555B30360A1B}"/>
            </a:ext>
          </a:extLst>
        </xdr:cNvPr>
        <xdr:cNvSpPr txBox="1"/>
      </xdr:nvSpPr>
      <xdr:spPr>
        <a:xfrm>
          <a:off x="7877176" y="1714500"/>
          <a:ext cx="1628774" cy="1905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Patients attended within Time</a:t>
          </a:r>
        </a:p>
      </xdr:txBody>
    </xdr:sp>
    <xdr:clientData/>
  </xdr:twoCellAnchor>
  <xdr:twoCellAnchor>
    <xdr:from>
      <xdr:col>16</xdr:col>
      <xdr:colOff>304800</xdr:colOff>
      <xdr:row>0</xdr:row>
      <xdr:rowOff>0</xdr:rowOff>
    </xdr:from>
    <xdr:to>
      <xdr:col>20</xdr:col>
      <xdr:colOff>428625</xdr:colOff>
      <xdr:row>10</xdr:row>
      <xdr:rowOff>19050</xdr:rowOff>
    </xdr:to>
    <xdr:graphicFrame macro="">
      <xdr:nvGraphicFramePr>
        <xdr:cNvPr id="40" name="Chart 39">
          <a:extLst>
            <a:ext uri="{FF2B5EF4-FFF2-40B4-BE49-F238E27FC236}">
              <a16:creationId xmlns:a16="http://schemas.microsoft.com/office/drawing/2014/main" id="{C7DE23C1-93EA-48CB-904D-A601BC0CB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333376</xdr:colOff>
      <xdr:row>8</xdr:row>
      <xdr:rowOff>95250</xdr:rowOff>
    </xdr:from>
    <xdr:to>
      <xdr:col>20</xdr:col>
      <xdr:colOff>428626</xdr:colOff>
      <xdr:row>10</xdr:row>
      <xdr:rowOff>0</xdr:rowOff>
    </xdr:to>
    <xdr:sp macro="" textlink="">
      <xdr:nvSpPr>
        <xdr:cNvPr id="41" name="TextBox 40">
          <a:extLst>
            <a:ext uri="{FF2B5EF4-FFF2-40B4-BE49-F238E27FC236}">
              <a16:creationId xmlns:a16="http://schemas.microsoft.com/office/drawing/2014/main" id="{E2C35B67-2600-49E9-E983-BF08BAADF4D3}"/>
            </a:ext>
          </a:extLst>
        </xdr:cNvPr>
        <xdr:cNvSpPr txBox="1"/>
      </xdr:nvSpPr>
      <xdr:spPr>
        <a:xfrm>
          <a:off x="11306176" y="1619250"/>
          <a:ext cx="1314450" cy="28575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Gender wise Analysis</a:t>
          </a:r>
        </a:p>
      </xdr:txBody>
    </xdr:sp>
    <xdr:clientData/>
  </xdr:twoCellAnchor>
  <xdr:twoCellAnchor>
    <xdr:from>
      <xdr:col>11</xdr:col>
      <xdr:colOff>590549</xdr:colOff>
      <xdr:row>10</xdr:row>
      <xdr:rowOff>123825</xdr:rowOff>
    </xdr:from>
    <xdr:to>
      <xdr:col>20</xdr:col>
      <xdr:colOff>495300</xdr:colOff>
      <xdr:row>21</xdr:row>
      <xdr:rowOff>180975</xdr:rowOff>
    </xdr:to>
    <xdr:graphicFrame macro="">
      <xdr:nvGraphicFramePr>
        <xdr:cNvPr id="42" name="Chart 41">
          <a:extLst>
            <a:ext uri="{FF2B5EF4-FFF2-40B4-BE49-F238E27FC236}">
              <a16:creationId xmlns:a16="http://schemas.microsoft.com/office/drawing/2014/main" id="{6D825E6A-DF7C-4A4F-AE71-4CA070BE2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285750</xdr:colOff>
      <xdr:row>21</xdr:row>
      <xdr:rowOff>9525</xdr:rowOff>
    </xdr:from>
    <xdr:to>
      <xdr:col>19</xdr:col>
      <xdr:colOff>390525</xdr:colOff>
      <xdr:row>22</xdr:row>
      <xdr:rowOff>123825</xdr:rowOff>
    </xdr:to>
    <xdr:sp macro="" textlink="">
      <xdr:nvSpPr>
        <xdr:cNvPr id="43" name="TextBox 42">
          <a:extLst>
            <a:ext uri="{FF2B5EF4-FFF2-40B4-BE49-F238E27FC236}">
              <a16:creationId xmlns:a16="http://schemas.microsoft.com/office/drawing/2014/main" id="{934092A1-BDDA-F656-1178-3B82C56343D7}"/>
            </a:ext>
          </a:extLst>
        </xdr:cNvPr>
        <xdr:cNvSpPr txBox="1"/>
      </xdr:nvSpPr>
      <xdr:spPr>
        <a:xfrm>
          <a:off x="9429750" y="4010025"/>
          <a:ext cx="2543175" cy="3048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a:t>
          </a:r>
          <a:r>
            <a:rPr lang="en-US" sz="1100" b="1" baseline="0"/>
            <a:t> of Patient by Department Referal</a:t>
          </a:r>
          <a:endParaRPr lang="en-US" sz="1100" b="1"/>
        </a:p>
      </xdr:txBody>
    </xdr:sp>
    <xdr:clientData/>
  </xdr:twoCellAnchor>
  <xdr:twoCellAnchor editAs="oneCell">
    <xdr:from>
      <xdr:col>8</xdr:col>
      <xdr:colOff>66674</xdr:colOff>
      <xdr:row>1</xdr:row>
      <xdr:rowOff>161924</xdr:rowOff>
    </xdr:from>
    <xdr:to>
      <xdr:col>11</xdr:col>
      <xdr:colOff>449580</xdr:colOff>
      <xdr:row>4</xdr:row>
      <xdr:rowOff>47624</xdr:rowOff>
    </xdr:to>
    <mc:AlternateContent xmlns:mc="http://schemas.openxmlformats.org/markup-compatibility/2006" xmlns:a14="http://schemas.microsoft.com/office/drawing/2010/main">
      <mc:Choice Requires="a14">
        <xdr:graphicFrame macro="">
          <xdr:nvGraphicFramePr>
            <xdr:cNvPr id="44" name="Column1 (Year) 1">
              <a:extLst>
                <a:ext uri="{FF2B5EF4-FFF2-40B4-BE49-F238E27FC236}">
                  <a16:creationId xmlns:a16="http://schemas.microsoft.com/office/drawing/2014/main" id="{B9557A34-CFDC-49AD-9789-7332D71FEA8F}"/>
                </a:ext>
              </a:extLst>
            </xdr:cNvPr>
            <xdr:cNvGraphicFramePr/>
          </xdr:nvGraphicFramePr>
          <xdr:xfrm>
            <a:off x="0" y="0"/>
            <a:ext cx="0" cy="0"/>
          </xdr:xfrm>
          <a:graphic>
            <a:graphicData uri="http://schemas.microsoft.com/office/drawing/2010/slicer">
              <sle:slicer xmlns:sle="http://schemas.microsoft.com/office/drawing/2010/slicer" name="Column1 (Year) 1"/>
            </a:graphicData>
          </a:graphic>
        </xdr:graphicFrame>
      </mc:Choice>
      <mc:Fallback xmlns="">
        <xdr:sp macro="" textlink="">
          <xdr:nvSpPr>
            <xdr:cNvPr id="0" name=""/>
            <xdr:cNvSpPr>
              <a:spLocks noTextEdit="1"/>
            </xdr:cNvSpPr>
          </xdr:nvSpPr>
          <xdr:spPr>
            <a:xfrm>
              <a:off x="4943474" y="352424"/>
              <a:ext cx="2211706"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3171298" backgroundQuery="1" createdVersion="8" refreshedVersion="8" minRefreshableVersion="3" recordCount="0" supportSubquery="1" supportAdvancedDrill="1" xr:uid="{8715EFC9-8A1E-421C-9764-D30D0910E355}">
  <cacheSource type="external" connectionId="3"/>
  <cacheFields count="3">
    <cacheField name="[Calander].[Column1 (Day)].[Column1 (Day)]" caption="Column1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Measures].[Distinct Count of Patient Id]" caption="Distinct Count of Patient Id" numFmtId="0" hierarchy="24" level="32767"/>
    <cacheField name="[Calander].[Column1 (Month)].[Column1 (Month)]" caption="Column1 (Month)" numFmtId="0" hierarchy="1" level="1">
      <sharedItems containsSemiMixedTypes="0" containsNonDate="0" containsString="0"/>
    </cacheField>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2"/>
      </fieldsUsage>
    </cacheHierarchy>
    <cacheHierarchy uniqueName="[Calander].[Column1 (Day)]" caption="Column1 (Day)" attribute="1" defaultMemberUniqueName="[Calander].[Column1 (Day)].[All]" allUniqueName="[Calander].[Column1 (Day)].[All]" dimensionUniqueName="[Calander]" displayFolder="" count="2" memberValueDatatype="130" unbalanced="0">
      <fieldsUsage count="2">
        <fieldUsage x="-1"/>
        <fieldUsage x="0"/>
      </fieldsUsage>
    </cacheHierarchy>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3402775" backgroundQuery="1" createdVersion="8" refreshedVersion="8" minRefreshableVersion="3" recordCount="0" supportSubquery="1" supportAdvancedDrill="1" xr:uid="{D59CE247-E2D8-4DF1-B0D6-72BFAC970CDD}">
  <cacheSource type="external" connectionId="3"/>
  <cacheFields count="2">
    <cacheField name="[Measures].[Distinct Count of Patient Id]" caption="Distinct Count of Patient Id" numFmtId="0" hierarchy="24" level="32767"/>
    <cacheField name="[Calander].[Column1 (Month)].[Column1 (Month)]" caption="Column1 (Month)" numFmtId="0" hierarchy="1" level="1">
      <sharedItems containsSemiMixedTypes="0" containsNonDate="0" containsString="0"/>
    </cacheField>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1"/>
      </fieldsUsage>
    </cacheHierarchy>
    <cacheHierarchy uniqueName="[Calander].[Column1 (Day)]" caption="Column1 (Day)" attribute="1" defaultMemberUniqueName="[Calander].[Column1 (Day)].[All]" allUniqueName="[Calander].[Column1 (Day)].[All]" dimensionUniqueName="[Calander]" displayFolder="" count="0" memberValueDatatype="130" unbalanced="0"/>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3518521" backgroundQuery="1" createdVersion="8" refreshedVersion="8" minRefreshableVersion="3" recordCount="0" supportSubquery="1" supportAdvancedDrill="1" xr:uid="{92388626-D334-42EF-9CB2-CB4784A9523E}">
  <cacheSource type="external" connectionId="3"/>
  <cacheFields count="2">
    <cacheField name="[Measures].[Average of Patient Waittime]" caption="Average of Patient Waittime" numFmtId="0" hierarchy="26" level="32767"/>
    <cacheField name="[Calander].[Column1 (Month)].[Column1 (Month)]" caption="Column1 (Month)" numFmtId="0" hierarchy="1" level="1">
      <sharedItems containsSemiMixedTypes="0" containsNonDate="0" containsString="0"/>
    </cacheField>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1"/>
      </fieldsUsage>
    </cacheHierarchy>
    <cacheHierarchy uniqueName="[Calander].[Column1 (Day)]" caption="Column1 (Day)" attribute="1" defaultMemberUniqueName="[Calander].[Column1 (Day)].[All]" allUniqueName="[Calander].[Column1 (Day)].[All]" dimensionUniqueName="[Calander]" displayFolder="" count="0" memberValueDatatype="130" unbalanced="0"/>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3749999" backgroundQuery="1" createdVersion="8" refreshedVersion="8" minRefreshableVersion="3" recordCount="0" supportSubquery="1" supportAdvancedDrill="1" xr:uid="{6263E754-29C6-4F3D-BE42-5BB8B60541CB}">
  <cacheSource type="external" connectionId="3"/>
  <cacheFields count="2">
    <cacheField name="[Measures].[Average of Patient Satisfaction Score]" caption="Average of Patient Satisfaction Score" numFmtId="0" hierarchy="28" level="32767"/>
    <cacheField name="[Calander].[Column1 (Month)].[Column1 (Month)]" caption="Column1 (Month)" numFmtId="0" hierarchy="1" level="1">
      <sharedItems containsSemiMixedTypes="0" containsNonDate="0" containsString="0"/>
    </cacheField>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1"/>
      </fieldsUsage>
    </cacheHierarchy>
    <cacheHierarchy uniqueName="[Calander].[Column1 (Day)]" caption="Column1 (Day)" attribute="1" defaultMemberUniqueName="[Calander].[Column1 (Day)].[All]" allUniqueName="[Calander].[Column1 (Day)].[All]" dimensionUniqueName="[Calander]" displayFolder="" count="0" memberValueDatatype="130" unbalanced="0"/>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421296" backgroundQuery="1" createdVersion="8" refreshedVersion="8" minRefreshableVersion="3" recordCount="0" supportSubquery="1" supportAdvancedDrill="1" xr:uid="{44831EE6-48AF-469E-8C78-77EF4ED770A2}">
  <cacheSource type="external" connectionId="3"/>
  <cacheFields count="3">
    <cacheField name="[Calander].[Column1 (Day)].[Column1 (Day)]" caption="Column1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ander].[Column1 (Month)].[Column1 (Month)]" caption="Column1 (Month)" numFmtId="0" hierarchy="1" level="1">
      <sharedItems containsSemiMixedTypes="0" containsNonDate="0" containsString="0"/>
    </cacheField>
    <cacheField name="[Measures].[Average of Patient Waittime]" caption="Average of Patient Waittime" numFmtId="0" hierarchy="26" level="32767"/>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1"/>
      </fieldsUsage>
    </cacheHierarchy>
    <cacheHierarchy uniqueName="[Calander].[Column1 (Day)]" caption="Column1 (Day)" attribute="1" defaultMemberUniqueName="[Calander].[Column1 (Day)].[All]" allUniqueName="[Calander].[Column1 (Day)].[All]" dimensionUniqueName="[Calander]" displayFolder="" count="2" memberValueDatatype="130" unbalanced="0">
      <fieldsUsage count="2">
        <fieldUsage x="-1"/>
        <fieldUsage x="0"/>
      </fieldsUsage>
    </cacheHierarchy>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4791668" backgroundQuery="1" createdVersion="8" refreshedVersion="8" minRefreshableVersion="3" recordCount="0" supportSubquery="1" supportAdvancedDrill="1" xr:uid="{5A1E56DF-36FA-477B-A447-A60A703085F0}">
  <cacheSource type="external" connectionId="3"/>
  <cacheFields count="3">
    <cacheField name="[Calander].[Column1 (Day)].[Column1 (Day)]" caption="Column1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ander].[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1"/>
      </fieldsUsage>
    </cacheHierarchy>
    <cacheHierarchy uniqueName="[Calander].[Column1 (Day)]" caption="Column1 (Day)" attribute="1" defaultMemberUniqueName="[Calander].[Column1 (Day)].[All]" allUniqueName="[Calander].[Column1 (Day)].[All]" dimensionUniqueName="[Calander]" displayFolder="" count="2" memberValueDatatype="130" unbalanced="0">
      <fieldsUsage count="2">
        <fieldUsage x="-1"/>
        <fieldUsage x="0"/>
      </fieldsUsage>
    </cacheHierarchy>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525463" backgroundQuery="1" createdVersion="8" refreshedVersion="8" minRefreshableVersion="3" recordCount="0" supportSubquery="1" supportAdvancedDrill="1" xr:uid="{87DE552E-35AC-45BD-B22D-FB901AD43CFB}">
  <cacheSource type="external" connectionId="3"/>
  <cacheFields count="4">
    <cacheField name="[Calander].[Column1 (Month)].[Column1 (Month)]" caption="Column1 (Month)" numFmtId="0" hierarchy="1" level="1">
      <sharedItems containsSemiMixedTypes="0" containsNonDate="0" containsString="0"/>
    </cacheField>
    <cacheField name="[HospitalEmergencyRoomData_Converted_v2].[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Unsupported0" numFmtId="0" hierarchy="35" level="32767">
      <extLst>
        <ext xmlns:x14="http://schemas.microsoft.com/office/spreadsheetml/2009/9/main" uri="{63CAB8AC-B538-458d-9737-405883B0398D}">
          <x14:cacheField ignore="1"/>
        </ext>
      </extLst>
    </cacheField>
  </cacheFields>
  <cacheHierarchies count="36">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0"/>
      </fieldsUsage>
    </cacheHierarchy>
    <cacheHierarchy uniqueName="[Calander].[Column1 (Day)]" caption="Column1 (Day)" attribute="1" defaultMemberUniqueName="[Calander].[Column1 (Day)].[All]" allUniqueName="[Calander].[Column1 (Day)].[All]" dimensionUniqueName="[Calander]" displayFolder="" count="0" memberValueDatatype="130" unbalanced="0"/>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2" memberValueDatatype="130" unbalanced="0">
      <fieldsUsage count="2">
        <fieldUsage x="-1"/>
        <fieldUsage x="1"/>
      </fieldsUsage>
    </cacheHierarchy>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y uniqueName="Unsupported0" caption="Column1" measure="1" count="0">
      <extLst>
        <ext xmlns:x14="http://schemas.microsoft.com/office/spreadsheetml/2009/9/main" uri="{8CF416AD-EC4C-4aba-99F5-12A058AE0983}">
          <x14:cacheHierarchy ignore="1"/>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5717592" backgroundQuery="1" createdVersion="8" refreshedVersion="8" minRefreshableVersion="3" recordCount="0" supportSubquery="1" supportAdvancedDrill="1" xr:uid="{66382B79-3851-4939-847C-2E07EE48CA79}">
  <cacheSource type="external" connectionId="3"/>
  <cacheFields count="3">
    <cacheField name="[Calander].[Column1 (Month)].[Column1 (Month)]" caption="Column1 (Month)" numFmtId="0" hierarchy="1" level="1">
      <sharedItems containsSemiMixedTypes="0" containsNonDate="0" containsString="0"/>
    </cacheField>
    <cacheField name="[HospitalEmergencyRoomData_Converted_v2].[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0"/>
      </fieldsUsage>
    </cacheHierarchy>
    <cacheHierarchy uniqueName="[Calander].[Column1 (Day)]" caption="Column1 (Day)" attribute="1" defaultMemberUniqueName="[Calander].[Column1 (Day)].[All]" allUniqueName="[Calander].[Column1 (Day)].[All]" dimensionUniqueName="[Calander]" displayFolder="" count="0" memberValueDatatype="130" unbalanced="0"/>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2" memberValueDatatype="130" unbalanced="0">
      <fieldsUsage count="2">
        <fieldUsage x="-1"/>
        <fieldUsage x="1"/>
      </fieldsUsage>
    </cacheHierarchy>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6064815" backgroundQuery="1" createdVersion="8" refreshedVersion="8" minRefreshableVersion="3" recordCount="0" supportSubquery="1" supportAdvancedDrill="1" xr:uid="{4D66AA25-73D4-4A00-A849-F7528CFD6905}">
  <cacheSource type="external" connectionId="3"/>
  <cacheFields count="3">
    <cacheField name="[Calander].[Column1 (Month)].[Column1 (Month)]" caption="Column1 (Month)" numFmtId="0" hierarchy="1" level="1">
      <sharedItems containsSemiMixedTypes="0" containsNonDate="0" containsString="0"/>
    </cacheField>
    <cacheField name="[HospitalEmergencyRoomData_Converted_v2].[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0"/>
      </fieldsUsage>
    </cacheHierarchy>
    <cacheHierarchy uniqueName="[Calander].[Column1 (Day)]" caption="Column1 (Day)" attribute="1" defaultMemberUniqueName="[Calander].[Column1 (Day)].[All]" allUniqueName="[Calander].[Column1 (Day)].[All]" dimensionUniqueName="[Calander]" displayFolder="" count="0" memberValueDatatype="130" unbalanced="0"/>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2" memberValueDatatype="130" unbalanced="0">
      <fieldsUsage count="2">
        <fieldUsage x="-1"/>
        <fieldUsage x="1"/>
      </fieldsUsage>
    </cacheHierarchy>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6412039" backgroundQuery="1" createdVersion="8" refreshedVersion="8" minRefreshableVersion="3" recordCount="0" supportSubquery="1" supportAdvancedDrill="1" xr:uid="{2AEB2128-8667-4DB1-ABD9-4D47312267CA}">
  <cacheSource type="external" connectionId="3"/>
  <cacheFields count="3">
    <cacheField name="[Calander].[Column1 (Month)].[Column1 (Month)]" caption="Column1 (Month)" numFmtId="0" hierarchy="1" level="1">
      <sharedItems containsSemiMixedTypes="0" containsNonDate="0" containsString="0"/>
    </cacheField>
    <cacheField name="[HospitalEmergencyRoomData_Converted_v2].[Patient Gender].[Patient Gender]" caption="Patient Gender" numFmtId="0" hierarchy="9" level="1">
      <sharedItems count="2">
        <s v="Female"/>
        <s v="Male"/>
      </sharedItems>
    </cacheField>
    <cacheField name="[Measures].[Count of Patient Gender]" caption="Count of Patient Gender" numFmtId="0" hierarchy="33" level="32767"/>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0"/>
      </fieldsUsage>
    </cacheHierarchy>
    <cacheHierarchy uniqueName="[Calander].[Column1 (Day)]" caption="Column1 (Day)" attribute="1" defaultMemberUniqueName="[Calander].[Column1 (Day)].[All]" allUniqueName="[Calander].[Column1 (Day)].[All]" dimensionUniqueName="[Calander]" displayFolder="" count="0" memberValueDatatype="130" unbalanced="0"/>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2" memberValueDatatype="130" unbalanced="0">
      <fieldsUsage count="2">
        <fieldUsage x="-1"/>
        <fieldUsage x="1"/>
      </fieldsUsage>
    </cacheHierarchy>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6759262" backgroundQuery="1" createdVersion="8" refreshedVersion="8" minRefreshableVersion="3" recordCount="0" supportSubquery="1" supportAdvancedDrill="1" xr:uid="{763C1349-D39F-46E5-B3FE-10AD5F402D6D}">
  <cacheSource type="external" connectionId="3"/>
  <cacheFields count="3">
    <cacheField name="[Calander].[Column1 (Month)].[Column1 (Month)]" caption="Column1 (Month)" numFmtId="0" hierarchy="1" level="1">
      <sharedItems containsSemiMixedTypes="0" containsNonDate="0" containsString="0"/>
    </cacheField>
    <cacheField name="[HospitalEmergencyRoomData_Converted_v2].[Department Referral].[Department Referral]" caption="Department Referral" numFmtId="0" hierarchy="12" level="1">
      <sharedItems count="8">
        <s v=""/>
        <s v="Cardiology"/>
        <s v="Gastroenterology"/>
        <s v="General Practice"/>
        <s v="Neurology"/>
        <s v="Orthopedics"/>
        <s v="Physiotherapy"/>
        <s v="Renal"/>
      </sharedItems>
    </cacheField>
    <cacheField name="[Measures].[Count of Department Referral]" caption="Count of Department Referral" numFmtId="0" hierarchy="34" level="32767"/>
  </cacheFields>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0"/>
      </fieldsUsage>
    </cacheHierarchy>
    <cacheHierarchy uniqueName="[Calander].[Column1 (Day)]" caption="Column1 (Day)" attribute="1" defaultMemberUniqueName="[Calander].[Column1 (Day)].[All]" allUniqueName="[Calander].[Column1 (Day)].[All]" dimensionUniqueName="[Calander]" displayFolder="" count="0" memberValueDatatype="130" unbalanced="0"/>
    <cacheHierarchy uniqueName="[Calander].[Column1 (Year)]" caption="Column1 (Year)" attribute="1" defaultMemberUniqueName="[Calander].[Column1 (Year)].[All]" allUniqueName="[Calander].[Column1 (Year)].[All]" dimensionUniqueName="[Calander]" displayFolder="" count="0"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2" memberValueDatatype="130" unbalanced="0">
      <fieldsUsage count="2">
        <fieldUsage x="-1"/>
        <fieldUsage x="1"/>
      </fieldsUsage>
    </cacheHierarchy>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843647453701" backgroundQuery="1" createdVersion="8" refreshedVersion="8" minRefreshableVersion="3" recordCount="0" supportSubquery="1" supportAdvancedDrill="1" xr:uid="{6CCBC494-77A5-4E4A-8102-7B772AB3A488}">
  <cacheSource type="external" connectionId="3"/>
  <cacheFields count="2">
    <cacheField name="[Calander].[Column1 (Month)].[Column1 (Month)]" caption="Column1 (Month)" numFmtId="0" hierarchy="1" level="1">
      <sharedItems containsSemiMixedTypes="0" containsNonDate="0" containsString="0"/>
    </cacheField>
    <cacheField name="[Calander].[Column1 (Year)].[Column1 (Year)]" caption="Column1 (Year)" numFmtId="0" hierarchy="3" level="1">
      <sharedItems count="1">
        <s v="2024"/>
      </sharedItems>
    </cacheField>
  </cacheFields>
  <cacheHierarchies count="35">
    <cacheHierarchy uniqueName="[Calander].[Column1]" caption="Column1" attribute="1" time="1" defaultMemberUniqueName="[Calander].[Column1].[All]" allUniqueName="[Calander].[Column1].[All]" dimensionUniqueName="[Calander]" displayFolder="" count="2"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fieldsUsage count="2">
        <fieldUsage x="-1"/>
        <fieldUsage x="0"/>
      </fieldsUsage>
    </cacheHierarchy>
    <cacheHierarchy uniqueName="[Calander].[Column1 (Day)]" caption="Column1 (Day)" attribute="1" defaultMemberUniqueName="[Calander].[Column1 (Day)].[All]" allUniqueName="[Calander].[Column1 (Day)].[All]" dimensionUniqueName="[Calander]" displayFolder="" count="2" memberValueDatatype="130" unbalanced="0"/>
    <cacheHierarchy uniqueName="[Calander].[Column1 (Year)]" caption="Column1 (Year)" attribute="1" defaultMemberUniqueName="[Calander].[Column1 (Year)].[All]" allUniqueName="[Calander].[Column1 (Year)].[All]" dimensionUniqueName="[Calander]" displayFolder="" count="2" memberValueDatatype="130" unbalanced="0">
      <fieldsUsage count="2">
        <fieldUsage x="-1"/>
        <fieldUsage x="1"/>
      </fieldsUsage>
    </cacheHierarchy>
    <cacheHierarchy uniqueName="[Calander].[Column1 (Quarter)]" caption="Column1 (Quarter)" attribute="1" defaultMemberUniqueName="[Calander].[Column1 (Quarter)].[All]" allUniqueName="[Calander].[Column1 (Quarter)].[All]" dimensionUniqueName="[Calander]" displayFolder="" count="2"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2"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2"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2"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2"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2"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2"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2"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2"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2"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2"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2"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2"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2" memberValueDatatype="130" unbalanced="0"/>
    <cacheHierarchy uniqueName="[Calander].[Column1 (Day Index)]" caption="Column1 (Day Index)" attribute="1" defaultMemberUniqueName="[Calander].[Column1 (Day Index)].[All]" allUniqueName="[Calander].[Column1 (Day Index)].[All]" dimensionUniqueName="[Calander]" displayFolder="" count="2" memberValueDatatype="5" unbalanced="0" hidden="1"/>
    <cacheHierarchy uniqueName="[Calander].[Column1 (Month Index)]" caption="Column1 (Month Index)" attribute="1" defaultMemberUniqueName="[Calander].[Column1 (Month Index)].[All]" allUniqueName="[Calander].[Column1 (Month Index)].[All]" dimensionUniqueName="[Calander]" displayFolder="" count="2"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dimensions count="3">
    <dimension name="Calander" uniqueName="[Calander]" caption="Calander"/>
    <dimension name="HospitalEmergencyRoomData_Converted_v2" uniqueName="[HospitalEmergencyRoomData_Converted_v2]" caption="HospitalEmergencyRoomData_Converted_v2"/>
    <dimension measure="1" name="Measures" uniqueName="[Measures]" caption="Measures"/>
  </dimensions>
  <measureGroups count="2">
    <measureGroup name="Calander" caption="Calander"/>
    <measureGroup name="HospitalEmergencyRoomData_Converted_v2" caption="HospitalEmergencyRoomData_Converted_v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0.580093402779" backgroundQuery="1" createdVersion="3" refreshedVersion="8" minRefreshableVersion="3" recordCount="0" supportSubquery="1" supportAdvancedDrill="1" xr:uid="{FE213931-AFBA-4EE1-BCAD-0F818610F43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ander].[Column1]" caption="Column1" attribute="1" time="1" defaultMemberUniqueName="[Calander].[Column1].[All]" allUniqueName="[Calander].[Column1].[All]" dimensionUniqueName="[Calander]" displayFolder="" count="0" memberValueDatatype="7" unbalanced="0"/>
    <cacheHierarchy uniqueName="[Calander].[Column1 (Month)]" caption="Column1 (Month)" attribute="1" defaultMemberUniqueName="[Calander].[Column1 (Month)].[All]" allUniqueName="[Calander].[Column1 (Month)].[All]" dimensionUniqueName="[Calander]" displayFolder="" count="2" memberValueDatatype="130" unbalanced="0"/>
    <cacheHierarchy uniqueName="[Calander].[Column1 (Day)]" caption="Column1 (Day)" attribute="1" defaultMemberUniqueName="[Calander].[Column1 (Day)].[All]" allUniqueName="[Calander].[Column1 (Day)].[All]" dimensionUniqueName="[Calander]" displayFolder="" count="0" memberValueDatatype="130" unbalanced="0"/>
    <cacheHierarchy uniqueName="[Calander].[Column1 (Year)]" caption="Column1 (Year)" attribute="1" defaultMemberUniqueName="[Calander].[Column1 (Year)].[All]" allUniqueName="[Calander].[Column1 (Year)].[All]" dimensionUniqueName="[Calander]" displayFolder="" count="2" memberValueDatatype="130" unbalanced="0"/>
    <cacheHierarchy uniqueName="[Calander].[Column1 (Quarter)]" caption="Column1 (Quarter)" attribute="1" defaultMemberUniqueName="[Calander].[Column1 (Quarter)].[All]" allUniqueName="[Calander].[Column1 (Quarter)].[All]" dimensionUniqueName="[Calander]" displayFolder="" count="0" memberValueDatatype="130" unbalanced="0"/>
    <cacheHierarchy uniqueName="[HospitalEmergencyRoomData_Converted_v2].[Patient Id]" caption="Patient Id" attribute="1" defaultMemberUniqueName="[HospitalEmergencyRoomData_Converted_v2].[Patient Id].[All]" allUniqueName="[HospitalEmergencyRoomData_Converted_v2].[Patient Id].[All]" dimensionUniqueName="[HospitalEmergencyRoomData_Converted_v2]" displayFolder="" count="0" memberValueDatatype="130" unbalanced="0"/>
    <cacheHierarchy uniqueName="[HospitalEmergencyRoomData_Converted_v2].[Patient Admission Date]" caption="Patient Admission Date" attribute="1" time="1" defaultMemberUniqueName="[HospitalEmergencyRoomData_Converted_v2].[Patient Admission Date].[All]" allUniqueName="[HospitalEmergencyRoomData_Converted_v2].[Patient Admission Date].[All]" dimensionUniqueName="[HospitalEmergencyRoomData_Converted_v2]" displayFolder="" count="0" memberValueDatatype="7" unbalanced="0"/>
    <cacheHierarchy uniqueName="[HospitalEmergencyRoomData_Converted_v2].[Patient Admission Time]" caption="Patient Admission Time" attribute="1" time="1" defaultMemberUniqueName="[HospitalEmergencyRoomData_Converted_v2].[Patient Admission Time].[All]" allUniqueName="[HospitalEmergencyRoomData_Converted_v2].[Patient Admission Time].[All]" dimensionUniqueName="[HospitalEmergencyRoomData_Converted_v2]" displayFolder="" count="0" memberValueDatatype="7" unbalanced="0"/>
    <cacheHierarchy uniqueName="[HospitalEmergencyRoomData_Converted_v2].[Full Name]" caption="Full Name" attribute="1" defaultMemberUniqueName="[HospitalEmergencyRoomData_Converted_v2].[Full Name].[All]" allUniqueName="[HospitalEmergencyRoomData_Converted_v2].[Full Name].[All]" dimensionUniqueName="[HospitalEmergencyRoomData_Converted_v2]" displayFolder="" count="0" memberValueDatatype="130" unbalanced="0"/>
    <cacheHierarchy uniqueName="[HospitalEmergencyRoomData_Converted_v2].[Patient Gender]" caption="Patient Gender" attribute="1" defaultMemberUniqueName="[HospitalEmergencyRoomData_Converted_v2].[Patient Gender].[All]" allUniqueName="[HospitalEmergencyRoomData_Converted_v2].[Patient Gender].[All]" dimensionUniqueName="[HospitalEmergencyRoomData_Converted_v2]" displayFolder="" count="0" memberValueDatatype="130" unbalanced="0"/>
    <cacheHierarchy uniqueName="[HospitalEmergencyRoomData_Converted_v2].[Patient Age]" caption="Patient Age" attribute="1" defaultMemberUniqueName="[HospitalEmergencyRoomData_Converted_v2].[Patient Age].[All]" allUniqueName="[HospitalEmergencyRoomData_Converted_v2].[Patient Age].[All]" dimensionUniqueName="[HospitalEmergencyRoomData_Converted_v2]" displayFolder="" count="0" memberValueDatatype="20" unbalanced="0"/>
    <cacheHierarchy uniqueName="[HospitalEmergencyRoomData_Converted_v2].[Patient Race]" caption="Patient Race" attribute="1" defaultMemberUniqueName="[HospitalEmergencyRoomData_Converted_v2].[Patient Race].[All]" allUniqueName="[HospitalEmergencyRoomData_Converted_v2].[Patient Race].[All]" dimensionUniqueName="[HospitalEmergencyRoomData_Converted_v2]" displayFolder="" count="0" memberValueDatatype="130" unbalanced="0"/>
    <cacheHierarchy uniqueName="[HospitalEmergencyRoomData_Converted_v2].[Department Referral]" caption="Department Referral" attribute="1" defaultMemberUniqueName="[HospitalEmergencyRoomData_Converted_v2].[Department Referral].[All]" allUniqueName="[HospitalEmergencyRoomData_Converted_v2].[Department Referral].[All]" dimensionUniqueName="[HospitalEmergencyRoomData_Converted_v2]" displayFolder="" count="0" memberValueDatatype="130" unbalanced="0"/>
    <cacheHierarchy uniqueName="[HospitalEmergencyRoomData_Converted_v2].[Patient Admission Flag]" caption="Patient Admission Flag" attribute="1" defaultMemberUniqueName="[HospitalEmergencyRoomData_Converted_v2].[Patient Admission Flag].[All]" allUniqueName="[HospitalEmergencyRoomData_Converted_v2].[Patient Admission Flag].[All]" dimensionUniqueName="[HospitalEmergencyRoomData_Converted_v2]" displayFolder="" count="0" memberValueDatatype="130" unbalanced="0"/>
    <cacheHierarchy uniqueName="[HospitalEmergencyRoomData_Converted_v2].[Patient Satisfaction Score]" caption="Patient Satisfaction Score" attribute="1" defaultMemberUniqueName="[HospitalEmergencyRoomData_Converted_v2].[Patient Satisfaction Score].[All]" allUniqueName="[HospitalEmergencyRoomData_Converted_v2].[Patient Satisfaction Score].[All]" dimensionUniqueName="[HospitalEmergencyRoomData_Converted_v2]" displayFolder="" count="0" memberValueDatatype="20" unbalanced="0"/>
    <cacheHierarchy uniqueName="[HospitalEmergencyRoomData_Converted_v2].[Patient Waittime]" caption="Patient Waittime" attribute="1" defaultMemberUniqueName="[HospitalEmergencyRoomData_Converted_v2].[Patient Waittime].[All]" allUniqueName="[HospitalEmergencyRoomData_Converted_v2].[Patient Waittime].[All]" dimensionUniqueName="[HospitalEmergencyRoomData_Converted_v2]" displayFolder="" count="0" memberValueDatatype="20" unbalanced="0"/>
    <cacheHierarchy uniqueName="[HospitalEmergencyRoomData_Converted_v2].[Age Group]" caption="Age Group" attribute="1" defaultMemberUniqueName="[HospitalEmergencyRoomData_Converted_v2].[Age Group].[All]" allUniqueName="[HospitalEmergencyRoomData_Converted_v2].[Age Group].[All]" dimensionUniqueName="[HospitalEmergencyRoomData_Converted_v2]" displayFolder="" count="0" memberValueDatatype="130" unbalanced="0"/>
    <cacheHierarchy uniqueName="[HospitalEmergencyRoomData_Converted_v2].[Patient Attend Status]" caption="Patient Attend Status" attribute="1" defaultMemberUniqueName="[HospitalEmergencyRoomData_Converted_v2].[Patient Attend Status].[All]" allUniqueName="[HospitalEmergencyRoomData_Converted_v2].[Patient Attend Status].[All]" dimensionUniqueName="[HospitalEmergencyRoomData_Converted_v2]" displayFolder="" count="0" memberValueDatatype="130" unbalanced="0"/>
    <cacheHierarchy uniqueName="[Calander].[Column1 (Day Index)]" caption="Column1 (Day Index)" attribute="1" defaultMemberUniqueName="[Calander].[Column1 (Day Index)].[All]" allUniqueName="[Calander].[Column1 (Day Index)].[All]" dimensionUniqueName="[Calander]" displayFolder="" count="0" memberValueDatatype="5" unbalanced="0" hidden="1"/>
    <cacheHierarchy uniqueName="[Calander].[Column1 (Month Index)]" caption="Column1 (Month Index)" attribute="1" defaultMemberUniqueName="[Calander].[Column1 (Month Index)].[All]" allUniqueName="[Calander].[Column1 (Month Index)].[All]" dimensionUniqueName="[Calander]" displayFolder="" count="0" memberValueDatatype="20" unbalanced="0" hidden="1"/>
    <cacheHierarchy uniqueName="[Measures].[__XL_Count HospitalEmergencyRoomData_Converted_v2]" caption="__XL_Count HospitalEmergencyRoomData_Converted_v2" measure="1" displayFolder="" measureGroup="HospitalEmergencyRoomData_Converted_v2" count="0" hidden="1"/>
    <cacheHierarchy uniqueName="[Measures].[__XL_Count Calander]" caption="__XL_Count Calander" measure="1" displayFolder="" measureGroup="Calander" count="0" hidden="1"/>
    <cacheHierarchy uniqueName="[Measures].[__No measures defined]" caption="__No measures defined" measure="1" displayFolder="" count="0" hidden="1"/>
    <cacheHierarchy uniqueName="[Measures].[Count of Patient Id]" caption="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EmergencyRoomData_Converted_v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EmergencyRoomData_Converted_v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EmergencyRoomData_Converted_v2"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EmergencyRoomData_Converted_v2"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EmergencyRoomData_Converted_v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EmergencyRoomData_Converted_v2"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EmergencyRoomData_Converted_v2"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EmergencyRoomData_Converted_v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EmergencyRoomData_Converted_v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933041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5237D-BB16-433A-BD1E-43B4BC7121ED}" name="PivotTable10" cacheId="78"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chartFormat="28">
  <location ref="A142:B14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100">
      <pivotArea outline="0" collapsedLevelsAreSubtotals="1" fieldPosition="0"/>
    </format>
  </formats>
  <chartFormats count="6">
    <chartFormat chart="23"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 chart="23" format="1">
      <pivotArea type="data" outline="0" fieldPosition="0">
        <references count="2">
          <reference field="4294967294" count="1" selected="0">
            <x v="0"/>
          </reference>
          <reference field="1" count="1" selected="0">
            <x v="0"/>
          </reference>
        </references>
      </pivotArea>
    </chartFormat>
    <chartFormat chart="23" format="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22F3B2-6704-426B-8918-147DBAFEA5C3}" name="PivotTable5" cacheId="63"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chartFormat="25">
  <location ref="A44:B7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9">
    <format dxfId="109">
      <pivotArea outline="0" collapsedLevelsAreSubtotals="1" fieldPosition="0"/>
    </format>
    <format dxfId="108">
      <pivotArea field="0" type="button" dataOnly="0" labelOnly="1" outline="0" axis="axisRow" fieldPosition="0"/>
    </format>
    <format dxfId="107">
      <pivotArea dataOnly="0" labelOnly="1" fieldPosition="0">
        <references count="1">
          <reference field="0" count="0"/>
        </references>
      </pivotArea>
    </format>
    <format dxfId="106">
      <pivotArea dataOnly="0" labelOnly="1" grandRow="1" outline="0" fieldPosition="0"/>
    </format>
    <format dxfId="105">
      <pivotArea field="0" type="button" dataOnly="0" labelOnly="1" outline="0" axis="axisRow" fieldPosition="0"/>
    </format>
    <format dxfId="104">
      <pivotArea dataOnly="0" labelOnly="1" fieldPosition="0">
        <references count="1">
          <reference field="0" count="0"/>
        </references>
      </pivotArea>
    </format>
    <format dxfId="103">
      <pivotArea dataOnly="0" labelOnly="1" grandRow="1" outline="0" fieldPosition="0"/>
    </format>
    <format dxfId="102">
      <pivotArea outline="0" collapsedLevelsAreSubtotals="1" fieldPosition="0"/>
    </format>
    <format dxfId="101">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EAFD05-8BA6-4D9C-92F4-CD9A13194F0D}" name="PivotTable4" cacheId="51"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chartFormat="19">
  <location ref="A8:B40"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formats count="9">
    <format dxfId="118">
      <pivotArea outline="0" collapsedLevelsAreSubtotals="1" fieldPosition="0"/>
    </format>
    <format dxfId="117">
      <pivotArea field="0" type="button" dataOnly="0" labelOnly="1" outline="0" axis="axisRow" fieldPosition="0"/>
    </format>
    <format dxfId="116">
      <pivotArea dataOnly="0" labelOnly="1" fieldPosition="0">
        <references count="1">
          <reference field="0" count="0"/>
        </references>
      </pivotArea>
    </format>
    <format dxfId="115">
      <pivotArea dataOnly="0" labelOnly="1" grandRow="1" outline="0" fieldPosition="0"/>
    </format>
    <format dxfId="114">
      <pivotArea field="0" type="button" dataOnly="0" labelOnly="1" outline="0" axis="axisRow" fieldPosition="0"/>
    </format>
    <format dxfId="113">
      <pivotArea dataOnly="0" labelOnly="1" fieldPosition="0">
        <references count="1">
          <reference field="0" count="0"/>
        </references>
      </pivotArea>
    </format>
    <format dxfId="112">
      <pivotArea dataOnly="0" labelOnly="1" grandRow="1" outline="0" fieldPosition="0"/>
    </format>
    <format dxfId="111">
      <pivotArea outline="0" collapsedLevelsAreSubtotals="1" fieldPosition="0"/>
    </format>
    <format dxfId="1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2CA63D-14D2-488D-971B-2E25109FCB45}" name="PivotTable9" cacheId="75"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chartFormat="23">
  <location ref="A132:B13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1">
    <format dxfId="119">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 chart="7" format="1">
      <pivotArea type="data" outline="0" fieldPosition="0">
        <references count="2">
          <reference field="4294967294" count="1" selected="0">
            <x v="0"/>
          </reference>
          <reference field="1" count="1" selected="0">
            <x v="0"/>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34A1AF-0E4E-49B3-83EE-EE7E780777F5}" name="PivotTable3" cacheId="60"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location ref="E4:E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0">
      <pivotArea outline="0" collapsedLevelsAreSubtotals="1" fieldPosition="0"/>
    </format>
  </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A0B527-ACB1-448B-86BE-5FB0D416C91E}" name="PivotTable8" cacheId="72"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chartFormat="7">
  <location ref="A121:B13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DD5D87-49BC-4561-86AC-30CEEDFC4E68}" name="PivotTable2" cacheId="57"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2">
      <pivotArea outline="0" collapsedLevelsAreSubtotals="1" fieldPosition="0"/>
    </format>
  </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C46AD0-CE6F-4CCB-A3C7-825B82CFDCBF}" name="PivotTable7" cacheId="69"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chartFormat="8">
  <location ref="A112:C115"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10">
    <format dxfId="132">
      <pivotArea outline="0" collapsedLevelsAreSubtotals="1" fieldPosition="0"/>
    </format>
    <format dxfId="131">
      <pivotArea outline="0" fieldPosition="0">
        <references count="1">
          <reference field="4294967294" count="1">
            <x v="1"/>
          </reference>
        </references>
      </pivotArea>
    </format>
    <format dxfId="130">
      <pivotArea field="1" type="button" dataOnly="0" labelOnly="1" outline="0" axis="axisRow" fieldPosition="0"/>
    </format>
    <format dxfId="129">
      <pivotArea dataOnly="0" labelOnly="1" fieldPosition="0">
        <references count="1">
          <reference field="1" count="0"/>
        </references>
      </pivotArea>
    </format>
    <format dxfId="128">
      <pivotArea dataOnly="0" labelOnly="1" grandRow="1" outline="0" fieldPosition="0"/>
    </format>
    <format dxfId="127">
      <pivotArea field="1" type="button" dataOnly="0" labelOnly="1" outline="0" axis="axisRow" fieldPosition="0"/>
    </format>
    <format dxfId="126">
      <pivotArea dataOnly="0" labelOnly="1" fieldPosition="0">
        <references count="1">
          <reference field="1" count="0"/>
        </references>
      </pivotArea>
    </format>
    <format dxfId="125">
      <pivotArea dataOnly="0" labelOnly="1" grandRow="1" outline="0" fieldPosition="0"/>
    </format>
    <format dxfId="124">
      <pivotArea outline="0" collapsedLevelsAreSubtotals="1" fieldPosition="0">
        <references count="1">
          <reference field="4294967294" count="1" selected="0">
            <x v="0"/>
          </reference>
        </references>
      </pivotArea>
    </format>
    <format dxfId="123">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FB5663-A565-4710-91E3-8C615E92B3D5}" name="PivotTable12" cacheId="84"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chartFormat="33">
  <location ref="A168:A170"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33">
      <pivotArea outline="0" collapsedLevelsAreSubtotals="1" fieldPosition="0"/>
    </format>
  </formats>
  <pivotHierarchies count="35">
    <pivotHierarchy dragToData="1"/>
    <pivotHierarchy multipleItemSelectionAllowed="1" dragToData="1">
      <members count="1" level="1">
        <member name="[Calander].[Column1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99038D-1E5A-43B8-BAD9-97366EDCEFD3}" name="PivotTable11" cacheId="81"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chartFormat="33">
  <location ref="A154:B16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2"/>
    </i>
    <i>
      <x v="1"/>
    </i>
    <i>
      <x v="4"/>
    </i>
    <i>
      <x v="6"/>
    </i>
    <i>
      <x v="5"/>
    </i>
    <i>
      <x v="3"/>
    </i>
    <i>
      <x/>
    </i>
    <i t="grand">
      <x/>
    </i>
  </rowItems>
  <colItems count="1">
    <i/>
  </colItems>
  <dataFields count="1">
    <dataField name="Count of Department Referral" fld="2" subtotal="count" baseField="0" baseItem="0"/>
  </dataFields>
  <formats count="1">
    <format dxfId="134">
      <pivotArea outline="0" collapsedLevelsAreSubtotals="1" fieldPosition="0"/>
    </format>
  </formats>
  <chartFormats count="2">
    <chartFormat chart="28"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37D415-20B4-46C6-A308-8CAF2EB5B565}" name="PivotTable1" cacheId="54"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6">
    <format dxfId="140">
      <pivotArea type="all" dataOnly="0" outline="0" fieldPosition="0"/>
    </format>
    <format dxfId="139">
      <pivotArea outline="0" collapsedLevelsAreSubtotals="1"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dataOnly="0" labelOnly="1" outline="0" axis="axisValues" fieldPosition="0"/>
    </format>
  </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DBF46C-A49A-4E98-AFCD-133952890743}" name="PivotTable6" cacheId="66" applyNumberFormats="0" applyBorderFormats="0" applyFontFormats="0" applyPatternFormats="0" applyAlignmentFormats="0" applyWidthHeightFormats="1" dataCaption="Values" tag="a151dc80-fcfc-47e7-ac83-02c88c6b9356" updatedVersion="8" minRefreshableVersion="3" useAutoFormatting="1" itemPrintTitles="1" createdVersion="8" indent="0" outline="1" outlineData="1" multipleFieldFilters="0" chartFormat="25">
  <location ref="A78:B110"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9">
    <format dxfId="149">
      <pivotArea outline="0" collapsedLevelsAreSubtotals="1" fieldPosition="0"/>
    </format>
    <format dxfId="148">
      <pivotArea field="0" type="button" dataOnly="0" labelOnly="1" outline="0" axis="axisRow" fieldPosition="0"/>
    </format>
    <format dxfId="147">
      <pivotArea dataOnly="0" labelOnly="1" fieldPosition="0">
        <references count="1">
          <reference field="0" count="0"/>
        </references>
      </pivotArea>
    </format>
    <format dxfId="146">
      <pivotArea dataOnly="0" labelOnly="1" grandRow="1" outline="0" fieldPosition="0"/>
    </format>
    <format dxfId="145">
      <pivotArea field="0" type="button" dataOnly="0" labelOnly="1" outline="0" axis="axisRow" fieldPosition="0"/>
    </format>
    <format dxfId="144">
      <pivotArea dataOnly="0" labelOnly="1" fieldPosition="0">
        <references count="1">
          <reference field="0" count="0"/>
        </references>
      </pivotArea>
    </format>
    <format dxfId="143">
      <pivotArea dataOnly="0" labelOnly="1" grandRow="1" outline="0" fieldPosition="0"/>
    </format>
    <format dxfId="142">
      <pivotArea outline="0" collapsedLevelsAreSubtotals="1" fieldPosition="0"/>
    </format>
    <format dxfId="141">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ander].[Column1 (Month)].&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EmergencyRoomData_Converted_v2]"/>
        <x15:activeTabTopLevelEntity name="[Cala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F1FEC31F-7E27-499F-93D2-55E90F4CBD2A}" sourceName="[Calander].[Column1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093304141">
      <levels count="2">
        <level uniqueName="[Calander].[Column1 (Month)].[(All)]" sourceCaption="(All)" count="0"/>
        <level uniqueName="[Calander].[Column1 (Month)].[Column1 (Month)]" sourceCaption="Column1 (Month)" count="12">
          <ranges>
            <range startItem="0">
              <i n="[Calander].[Column1 (Month)].&amp;[Jan]" c="Jan"/>
              <i n="[Calander].[Column1 (Month)].&amp;[Feb]" c="Feb"/>
              <i n="[Calander].[Column1 (Month)].&amp;[Mar]" c="Mar"/>
              <i n="[Calander].[Column1 (Month)].&amp;[Apr]" c="Apr"/>
              <i n="[Calander].[Column1 (Month)].&amp;[May]" c="May"/>
              <i n="[Calander].[Column1 (Month)].&amp;[Jun]" c="Jun"/>
              <i n="[Calander].[Column1 (Month)].&amp;[Jul]" c="Jul"/>
              <i n="[Calander].[Column1 (Month)].&amp;[Aug]" c="Aug"/>
              <i n="[Calander].[Column1 (Month)].&amp;[Sep]" c="Sep"/>
              <i n="[Calander].[Column1 (Month)].&amp;[Oct]" c="Oct"/>
              <i n="[Calander].[Column1 (Month)].&amp;[Nov]" c="Nov"/>
              <i n="[Calander].[Column1 (Month)].&amp;[Dec]" c="Dec"/>
            </range>
          </ranges>
        </level>
      </levels>
      <selections count="1">
        <selection n="[Calander].[Column1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5D68E587-644C-4985-A6E4-93788E26A400}" sourceName="[Calander].[Column1 (Year)]">
  <pivotTables>
    <pivotTable tabId="1" name="PivotTable12"/>
  </pivotTables>
  <data>
    <olap pivotCacheId="2093304141">
      <levels count="2">
        <level uniqueName="[Calander].[Column1 (Year)].[(All)]" sourceCaption="(All)" count="0"/>
        <level uniqueName="[Calander].[Column1 (Year)].[Column1 (Year)]" sourceCaption="Column1 (Year)" count="2">
          <ranges>
            <range startItem="0">
              <i n="[Calander].[Column1 (Year)].&amp;[2023]" c="2023"/>
              <i n="[Calander].[Column1 (Year)].&amp;[2024]" c="2024"/>
            </range>
          </ranges>
        </level>
      </levels>
      <selections count="1">
        <selection n="[Calander].[Column1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6235C773-5C7C-467D-9C68-838E71C78648}" cache="Slicer_Column1__Month" caption="Column1 (Month)" level="1" rowHeight="241300"/>
  <slicer name="Column1 (Year)" xr10:uid="{7C1F9FA3-ED45-418B-A75A-A90DB164532D}" cache="Slicer_Column1__Year" caption="Column1 (Year)" showCaption="0" level="1" style="My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1" xr10:uid="{1A46DAF7-40E6-4DEF-8482-D5B826A728F2}" cache="Slicer_Column1__Month" caption="Column1 (Month)" showCaption="0" level="1" style="MyStyle" rowHeight="241300"/>
  <slicer name="Column1 (Year) 1" xr10:uid="{5050C2ED-A14F-4E86-9F41-23ECFC7B0FE3}" cache="Slicer_Column1__Year" caption="Column1 (Year)" columnCount="2" showCaption="0" level="1" style="MyStyle"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3140-E25F-406D-9765-0BD3C52426CF}">
  <dimension ref="A3:E185"/>
  <sheetViews>
    <sheetView topLeftCell="A160" workbookViewId="0">
      <selection activeCell="A169" sqref="A169"/>
    </sheetView>
  </sheetViews>
  <sheetFormatPr defaultRowHeight="15" x14ac:dyDescent="0.25"/>
  <cols>
    <col min="1" max="1" width="13.140625" style="7" bestFit="1" customWidth="1"/>
    <col min="2" max="2" width="27.85546875" style="2" bestFit="1" customWidth="1"/>
    <col min="3" max="3" width="30.85546875" bestFit="1" customWidth="1"/>
    <col min="4" max="4" width="8.7109375" style="2" bestFit="1" customWidth="1"/>
    <col min="5" max="5" width="34.28515625" bestFit="1" customWidth="1"/>
    <col min="6" max="10" width="8.7109375" bestFit="1" customWidth="1"/>
    <col min="11" max="32" width="9.7109375" bestFit="1" customWidth="1"/>
    <col min="33" max="41" width="8.7109375" bestFit="1" customWidth="1"/>
    <col min="42" max="63" width="9.7109375" bestFit="1" customWidth="1"/>
    <col min="64" max="64" width="11.28515625" bestFit="1" customWidth="1"/>
    <col min="65" max="69" width="8.7109375" bestFit="1" customWidth="1"/>
    <col min="70" max="91" width="9.7109375" bestFit="1" customWidth="1"/>
    <col min="92" max="100" width="8.7109375" bestFit="1" customWidth="1"/>
    <col min="101" max="121" width="9.7109375" bestFit="1" customWidth="1"/>
    <col min="122" max="130" width="8.7109375" bestFit="1" customWidth="1"/>
    <col min="131" max="152" width="9.7109375" bestFit="1" customWidth="1"/>
    <col min="153" max="161" width="8.7109375" bestFit="1" customWidth="1"/>
    <col min="162" max="182" width="9.7109375" bestFit="1" customWidth="1"/>
    <col min="183" max="191" width="8.7109375" bestFit="1" customWidth="1"/>
    <col min="192" max="213" width="9.7109375" bestFit="1" customWidth="1"/>
    <col min="214" max="222" width="8.7109375" bestFit="1" customWidth="1"/>
    <col min="223" max="244" width="9.7109375" bestFit="1" customWidth="1"/>
    <col min="245" max="253" width="8.7109375" bestFit="1" customWidth="1"/>
    <col min="254" max="283" width="9.7109375" bestFit="1" customWidth="1"/>
    <col min="284" max="305" width="10.7109375" bestFit="1" customWidth="1"/>
    <col min="306" max="314" width="9.7109375" bestFit="1" customWidth="1"/>
    <col min="315" max="335" width="10.7109375" bestFit="1" customWidth="1"/>
    <col min="336" max="344" width="9.7109375" bestFit="1" customWidth="1"/>
    <col min="345" max="366" width="10.7109375" bestFit="1" customWidth="1"/>
    <col min="367" max="375" width="8.7109375" bestFit="1" customWidth="1"/>
    <col min="376" max="397" width="9.7109375" bestFit="1" customWidth="1"/>
    <col min="398" max="406" width="8.7109375" bestFit="1" customWidth="1"/>
    <col min="407" max="426" width="9.7109375" bestFit="1" customWidth="1"/>
    <col min="427" max="435" width="8.7109375" bestFit="1" customWidth="1"/>
    <col min="436" max="457" width="9.7109375" bestFit="1" customWidth="1"/>
    <col min="458" max="466" width="8.7109375" bestFit="1" customWidth="1"/>
    <col min="467" max="487" width="9.7109375" bestFit="1" customWidth="1"/>
    <col min="488" max="496" width="8.7109375" bestFit="1" customWidth="1"/>
    <col min="497" max="518" width="9.7109375" bestFit="1" customWidth="1"/>
    <col min="519" max="527" width="8.7109375" bestFit="1" customWidth="1"/>
    <col min="528" max="548" width="9.7109375" bestFit="1" customWidth="1"/>
    <col min="549" max="557" width="8.7109375" bestFit="1" customWidth="1"/>
    <col min="558" max="579" width="9.7109375" bestFit="1" customWidth="1"/>
    <col min="580" max="588" width="8.7109375" bestFit="1" customWidth="1"/>
    <col min="589" max="610" width="9.7109375" bestFit="1" customWidth="1"/>
    <col min="611" max="619" width="8.7109375" bestFit="1" customWidth="1"/>
    <col min="620" max="649" width="9.7109375" bestFit="1" customWidth="1"/>
    <col min="650" max="671" width="10.7109375" bestFit="1" customWidth="1"/>
    <col min="672" max="680" width="9.7109375" bestFit="1" customWidth="1"/>
    <col min="681" max="701" width="10.7109375" bestFit="1" customWidth="1"/>
    <col min="702" max="710" width="9.7109375" bestFit="1" customWidth="1"/>
    <col min="711" max="732" width="10.7109375" bestFit="1" customWidth="1"/>
    <col min="733" max="733" width="11.28515625" bestFit="1" customWidth="1"/>
  </cols>
  <sheetData>
    <row r="3" spans="1:5" x14ac:dyDescent="0.25">
      <c r="A3" s="7">
        <f>GETPIVOTDATA("[Measures].[Distinct Count of Patient Id]",$A$4)</f>
        <v>999</v>
      </c>
      <c r="C3" s="3">
        <f>GETPIVOTDATA("[Measures].[Average of Patient Waittime]",$C$4)</f>
        <v>35.146146146146144</v>
      </c>
      <c r="E3" s="3">
        <f>GETPIVOTDATA("[Measures].[Average of Patient Satisfaction Score]",$E$4)</f>
        <v>5.1538461538461542</v>
      </c>
    </row>
    <row r="4" spans="1:5" x14ac:dyDescent="0.25">
      <c r="A4" s="7" t="s">
        <v>2</v>
      </c>
      <c r="C4" t="s">
        <v>3</v>
      </c>
      <c r="E4" t="s">
        <v>4</v>
      </c>
    </row>
    <row r="5" spans="1:5" x14ac:dyDescent="0.25">
      <c r="A5" s="17">
        <v>999</v>
      </c>
      <c r="C5" s="3">
        <v>35.146146146146144</v>
      </c>
      <c r="E5" s="3">
        <v>5.1538461538461542</v>
      </c>
    </row>
    <row r="8" spans="1:5" x14ac:dyDescent="0.25">
      <c r="A8" s="8" t="s">
        <v>0</v>
      </c>
      <c r="B8" s="2" t="s">
        <v>2</v>
      </c>
    </row>
    <row r="9" spans="1:5" x14ac:dyDescent="0.25">
      <c r="A9" s="7" t="s">
        <v>36</v>
      </c>
      <c r="B9" s="9">
        <v>34</v>
      </c>
    </row>
    <row r="10" spans="1:5" x14ac:dyDescent="0.25">
      <c r="A10" s="7" t="s">
        <v>37</v>
      </c>
      <c r="B10" s="9">
        <v>37</v>
      </c>
    </row>
    <row r="11" spans="1:5" x14ac:dyDescent="0.25">
      <c r="A11" s="7" t="s">
        <v>38</v>
      </c>
      <c r="B11" s="9">
        <v>41</v>
      </c>
    </row>
    <row r="12" spans="1:5" x14ac:dyDescent="0.25">
      <c r="A12" s="7" t="s">
        <v>39</v>
      </c>
      <c r="B12" s="9">
        <v>31</v>
      </c>
    </row>
    <row r="13" spans="1:5" x14ac:dyDescent="0.25">
      <c r="A13" s="7" t="s">
        <v>40</v>
      </c>
      <c r="B13" s="9">
        <v>29</v>
      </c>
    </row>
    <row r="14" spans="1:5" x14ac:dyDescent="0.25">
      <c r="A14" s="7" t="s">
        <v>41</v>
      </c>
      <c r="B14" s="9">
        <v>33</v>
      </c>
    </row>
    <row r="15" spans="1:5" x14ac:dyDescent="0.25">
      <c r="A15" s="7" t="s">
        <v>42</v>
      </c>
      <c r="B15" s="9">
        <v>30</v>
      </c>
    </row>
    <row r="16" spans="1:5" x14ac:dyDescent="0.25">
      <c r="A16" s="7" t="s">
        <v>43</v>
      </c>
      <c r="B16" s="9">
        <v>37</v>
      </c>
    </row>
    <row r="17" spans="1:2" x14ac:dyDescent="0.25">
      <c r="A17" s="7" t="s">
        <v>44</v>
      </c>
      <c r="B17" s="9">
        <v>33</v>
      </c>
    </row>
    <row r="18" spans="1:2" x14ac:dyDescent="0.25">
      <c r="A18" s="7" t="s">
        <v>45</v>
      </c>
      <c r="B18" s="9">
        <v>37</v>
      </c>
    </row>
    <row r="19" spans="1:2" x14ac:dyDescent="0.25">
      <c r="A19" s="7" t="s">
        <v>46</v>
      </c>
      <c r="B19" s="9">
        <v>31</v>
      </c>
    </row>
    <row r="20" spans="1:2" x14ac:dyDescent="0.25">
      <c r="A20" s="7" t="s">
        <v>47</v>
      </c>
      <c r="B20" s="9">
        <v>25</v>
      </c>
    </row>
    <row r="21" spans="1:2" x14ac:dyDescent="0.25">
      <c r="A21" s="7" t="s">
        <v>48</v>
      </c>
      <c r="B21" s="9">
        <v>25</v>
      </c>
    </row>
    <row r="22" spans="1:2" x14ac:dyDescent="0.25">
      <c r="A22" s="7" t="s">
        <v>49</v>
      </c>
      <c r="B22" s="9">
        <v>25</v>
      </c>
    </row>
    <row r="23" spans="1:2" x14ac:dyDescent="0.25">
      <c r="A23" s="7" t="s">
        <v>50</v>
      </c>
      <c r="B23" s="9">
        <v>23</v>
      </c>
    </row>
    <row r="24" spans="1:2" x14ac:dyDescent="0.25">
      <c r="A24" s="7" t="s">
        <v>51</v>
      </c>
      <c r="B24" s="9">
        <v>41</v>
      </c>
    </row>
    <row r="25" spans="1:2" x14ac:dyDescent="0.25">
      <c r="A25" s="7" t="s">
        <v>52</v>
      </c>
      <c r="B25" s="9">
        <v>31</v>
      </c>
    </row>
    <row r="26" spans="1:2" x14ac:dyDescent="0.25">
      <c r="A26" s="7" t="s">
        <v>53</v>
      </c>
      <c r="B26" s="9">
        <v>34</v>
      </c>
    </row>
    <row r="27" spans="1:2" x14ac:dyDescent="0.25">
      <c r="A27" s="7" t="s">
        <v>54</v>
      </c>
      <c r="B27" s="9">
        <v>31</v>
      </c>
    </row>
    <row r="28" spans="1:2" x14ac:dyDescent="0.25">
      <c r="A28" s="7" t="s">
        <v>55</v>
      </c>
      <c r="B28" s="9">
        <v>31</v>
      </c>
    </row>
    <row r="29" spans="1:2" x14ac:dyDescent="0.25">
      <c r="A29" s="7" t="s">
        <v>56</v>
      </c>
      <c r="B29" s="9">
        <v>44</v>
      </c>
    </row>
    <row r="30" spans="1:2" x14ac:dyDescent="0.25">
      <c r="A30" s="7" t="s">
        <v>57</v>
      </c>
      <c r="B30" s="9">
        <v>43</v>
      </c>
    </row>
    <row r="31" spans="1:2" x14ac:dyDescent="0.25">
      <c r="A31" s="7" t="s">
        <v>58</v>
      </c>
      <c r="B31" s="9">
        <v>33</v>
      </c>
    </row>
    <row r="32" spans="1:2" x14ac:dyDescent="0.25">
      <c r="A32" s="7" t="s">
        <v>59</v>
      </c>
      <c r="B32" s="9">
        <v>28</v>
      </c>
    </row>
    <row r="33" spans="1:2" x14ac:dyDescent="0.25">
      <c r="A33" s="7" t="s">
        <v>60</v>
      </c>
      <c r="B33" s="9">
        <v>34</v>
      </c>
    </row>
    <row r="34" spans="1:2" x14ac:dyDescent="0.25">
      <c r="A34" s="7" t="s">
        <v>61</v>
      </c>
      <c r="B34" s="9">
        <v>24</v>
      </c>
    </row>
    <row r="35" spans="1:2" x14ac:dyDescent="0.25">
      <c r="A35" s="7" t="s">
        <v>62</v>
      </c>
      <c r="B35" s="9">
        <v>27</v>
      </c>
    </row>
    <row r="36" spans="1:2" x14ac:dyDescent="0.25">
      <c r="A36" s="7" t="s">
        <v>63</v>
      </c>
      <c r="B36" s="9">
        <v>23</v>
      </c>
    </row>
    <row r="37" spans="1:2" x14ac:dyDescent="0.25">
      <c r="A37" s="7" t="s">
        <v>64</v>
      </c>
      <c r="B37" s="9">
        <v>35</v>
      </c>
    </row>
    <row r="38" spans="1:2" x14ac:dyDescent="0.25">
      <c r="A38" s="7" t="s">
        <v>65</v>
      </c>
      <c r="B38" s="9">
        <v>39</v>
      </c>
    </row>
    <row r="39" spans="1:2" x14ac:dyDescent="0.25">
      <c r="A39" s="7" t="s">
        <v>66</v>
      </c>
      <c r="B39" s="9">
        <v>30</v>
      </c>
    </row>
    <row r="40" spans="1:2" x14ac:dyDescent="0.25">
      <c r="A40" s="7" t="s">
        <v>1</v>
      </c>
      <c r="B40" s="9">
        <v>999</v>
      </c>
    </row>
    <row r="44" spans="1:2" x14ac:dyDescent="0.25">
      <c r="A44" s="8" t="s">
        <v>0</v>
      </c>
      <c r="B44" s="2" t="s">
        <v>3</v>
      </c>
    </row>
    <row r="45" spans="1:2" x14ac:dyDescent="0.25">
      <c r="A45" s="7" t="s">
        <v>36</v>
      </c>
      <c r="B45" s="9">
        <v>33.205882352941174</v>
      </c>
    </row>
    <row r="46" spans="1:2" x14ac:dyDescent="0.25">
      <c r="A46" s="7" t="s">
        <v>37</v>
      </c>
      <c r="B46" s="9">
        <v>30.135135135135137</v>
      </c>
    </row>
    <row r="47" spans="1:2" x14ac:dyDescent="0.25">
      <c r="A47" s="7" t="s">
        <v>38</v>
      </c>
      <c r="B47" s="9">
        <v>38.512195121951223</v>
      </c>
    </row>
    <row r="48" spans="1:2" x14ac:dyDescent="0.25">
      <c r="A48" s="7" t="s">
        <v>39</v>
      </c>
      <c r="B48" s="9">
        <v>34.806451612903224</v>
      </c>
    </row>
    <row r="49" spans="1:2" x14ac:dyDescent="0.25">
      <c r="A49" s="7" t="s">
        <v>40</v>
      </c>
      <c r="B49" s="9">
        <v>34.517241379310342</v>
      </c>
    </row>
    <row r="50" spans="1:2" x14ac:dyDescent="0.25">
      <c r="A50" s="7" t="s">
        <v>41</v>
      </c>
      <c r="B50" s="9">
        <v>36.575757575757578</v>
      </c>
    </row>
    <row r="51" spans="1:2" x14ac:dyDescent="0.25">
      <c r="A51" s="7" t="s">
        <v>42</v>
      </c>
      <c r="B51" s="9">
        <v>35.833333333333336</v>
      </c>
    </row>
    <row r="52" spans="1:2" x14ac:dyDescent="0.25">
      <c r="A52" s="7" t="s">
        <v>43</v>
      </c>
      <c r="B52" s="9">
        <v>35.567567567567565</v>
      </c>
    </row>
    <row r="53" spans="1:2" x14ac:dyDescent="0.25">
      <c r="A53" s="7" t="s">
        <v>44</v>
      </c>
      <c r="B53" s="9">
        <v>36.333333333333336</v>
      </c>
    </row>
    <row r="54" spans="1:2" x14ac:dyDescent="0.25">
      <c r="A54" s="7" t="s">
        <v>45</v>
      </c>
      <c r="B54" s="9">
        <v>31.351351351351351</v>
      </c>
    </row>
    <row r="55" spans="1:2" x14ac:dyDescent="0.25">
      <c r="A55" s="7" t="s">
        <v>46</v>
      </c>
      <c r="B55" s="9">
        <v>31.64516129032258</v>
      </c>
    </row>
    <row r="56" spans="1:2" x14ac:dyDescent="0.25">
      <c r="A56" s="7" t="s">
        <v>47</v>
      </c>
      <c r="B56" s="9">
        <v>40.200000000000003</v>
      </c>
    </row>
    <row r="57" spans="1:2" x14ac:dyDescent="0.25">
      <c r="A57" s="7" t="s">
        <v>48</v>
      </c>
      <c r="B57" s="9">
        <v>38</v>
      </c>
    </row>
    <row r="58" spans="1:2" x14ac:dyDescent="0.25">
      <c r="A58" s="7" t="s">
        <v>49</v>
      </c>
      <c r="B58" s="9">
        <v>30.56</v>
      </c>
    </row>
    <row r="59" spans="1:2" x14ac:dyDescent="0.25">
      <c r="A59" s="7" t="s">
        <v>50</v>
      </c>
      <c r="B59" s="9">
        <v>34.565217391304351</v>
      </c>
    </row>
    <row r="60" spans="1:2" x14ac:dyDescent="0.25">
      <c r="A60" s="7" t="s">
        <v>51</v>
      </c>
      <c r="B60" s="9">
        <v>32.902439024390247</v>
      </c>
    </row>
    <row r="61" spans="1:2" x14ac:dyDescent="0.25">
      <c r="A61" s="7" t="s">
        <v>52</v>
      </c>
      <c r="B61" s="9">
        <v>33.451612903225808</v>
      </c>
    </row>
    <row r="62" spans="1:2" x14ac:dyDescent="0.25">
      <c r="A62" s="7" t="s">
        <v>53</v>
      </c>
      <c r="B62" s="9">
        <v>36.117647058823529</v>
      </c>
    </row>
    <row r="63" spans="1:2" x14ac:dyDescent="0.25">
      <c r="A63" s="7" t="s">
        <v>54</v>
      </c>
      <c r="B63" s="9">
        <v>36.322580645161288</v>
      </c>
    </row>
    <row r="64" spans="1:2" x14ac:dyDescent="0.25">
      <c r="A64" s="7" t="s">
        <v>55</v>
      </c>
      <c r="B64" s="9">
        <v>32.806451612903224</v>
      </c>
    </row>
    <row r="65" spans="1:2" x14ac:dyDescent="0.25">
      <c r="A65" s="7" t="s">
        <v>56</v>
      </c>
      <c r="B65" s="9">
        <v>37.704545454545453</v>
      </c>
    </row>
    <row r="66" spans="1:2" x14ac:dyDescent="0.25">
      <c r="A66" s="7" t="s">
        <v>57</v>
      </c>
      <c r="B66" s="9">
        <v>36.534883720930232</v>
      </c>
    </row>
    <row r="67" spans="1:2" x14ac:dyDescent="0.25">
      <c r="A67" s="7" t="s">
        <v>58</v>
      </c>
      <c r="B67" s="9">
        <v>35.303030303030305</v>
      </c>
    </row>
    <row r="68" spans="1:2" x14ac:dyDescent="0.25">
      <c r="A68" s="7" t="s">
        <v>59</v>
      </c>
      <c r="B68" s="9">
        <v>41.535714285714285</v>
      </c>
    </row>
    <row r="69" spans="1:2" x14ac:dyDescent="0.25">
      <c r="A69" s="7" t="s">
        <v>60</v>
      </c>
      <c r="B69" s="9">
        <v>38.147058823529413</v>
      </c>
    </row>
    <row r="70" spans="1:2" x14ac:dyDescent="0.25">
      <c r="A70" s="7" t="s">
        <v>61</v>
      </c>
      <c r="B70" s="9">
        <v>37.166666666666664</v>
      </c>
    </row>
    <row r="71" spans="1:2" x14ac:dyDescent="0.25">
      <c r="A71" s="7" t="s">
        <v>62</v>
      </c>
      <c r="B71" s="9">
        <v>33.629629629629626</v>
      </c>
    </row>
    <row r="72" spans="1:2" x14ac:dyDescent="0.25">
      <c r="A72" s="7" t="s">
        <v>63</v>
      </c>
      <c r="B72" s="9">
        <v>33.130434782608695</v>
      </c>
    </row>
    <row r="73" spans="1:2" x14ac:dyDescent="0.25">
      <c r="A73" s="7" t="s">
        <v>64</v>
      </c>
      <c r="B73" s="9">
        <v>36.085714285714289</v>
      </c>
    </row>
    <row r="74" spans="1:2" x14ac:dyDescent="0.25">
      <c r="A74" s="7" t="s">
        <v>65</v>
      </c>
      <c r="B74" s="9">
        <v>33.512820512820511</v>
      </c>
    </row>
    <row r="75" spans="1:2" x14ac:dyDescent="0.25">
      <c r="A75" s="7" t="s">
        <v>66</v>
      </c>
      <c r="B75" s="9">
        <v>33.733333333333334</v>
      </c>
    </row>
    <row r="76" spans="1:2" x14ac:dyDescent="0.25">
      <c r="A76" s="7" t="s">
        <v>1</v>
      </c>
      <c r="B76" s="9">
        <v>35.146146146146144</v>
      </c>
    </row>
    <row r="78" spans="1:2" x14ac:dyDescent="0.25">
      <c r="A78" s="8" t="s">
        <v>0</v>
      </c>
      <c r="B78" s="2" t="s">
        <v>4</v>
      </c>
    </row>
    <row r="79" spans="1:2" x14ac:dyDescent="0.25">
      <c r="A79" s="7" t="s">
        <v>36</v>
      </c>
      <c r="B79" s="9">
        <v>6.8571428571428568</v>
      </c>
    </row>
    <row r="80" spans="1:2" x14ac:dyDescent="0.25">
      <c r="A80" s="7" t="s">
        <v>37</v>
      </c>
      <c r="B80" s="9">
        <v>4.3636363636363633</v>
      </c>
    </row>
    <row r="81" spans="1:2" x14ac:dyDescent="0.25">
      <c r="A81" s="7" t="s">
        <v>38</v>
      </c>
      <c r="B81" s="9">
        <v>6.416666666666667</v>
      </c>
    </row>
    <row r="82" spans="1:2" x14ac:dyDescent="0.25">
      <c r="A82" s="7" t="s">
        <v>39</v>
      </c>
      <c r="B82" s="9">
        <v>5.5384615384615383</v>
      </c>
    </row>
    <row r="83" spans="1:2" x14ac:dyDescent="0.25">
      <c r="A83" s="7" t="s">
        <v>40</v>
      </c>
      <c r="B83" s="9">
        <v>5</v>
      </c>
    </row>
    <row r="84" spans="1:2" x14ac:dyDescent="0.25">
      <c r="A84" s="7" t="s">
        <v>41</v>
      </c>
      <c r="B84" s="9">
        <v>4.9090909090909092</v>
      </c>
    </row>
    <row r="85" spans="1:2" x14ac:dyDescent="0.25">
      <c r="A85" s="7" t="s">
        <v>42</v>
      </c>
      <c r="B85" s="9">
        <v>3.3</v>
      </c>
    </row>
    <row r="86" spans="1:2" x14ac:dyDescent="0.25">
      <c r="A86" s="7" t="s">
        <v>43</v>
      </c>
      <c r="B86" s="9">
        <v>4.7</v>
      </c>
    </row>
    <row r="87" spans="1:2" x14ac:dyDescent="0.25">
      <c r="A87" s="7" t="s">
        <v>44</v>
      </c>
      <c r="B87" s="9">
        <v>4.666666666666667</v>
      </c>
    </row>
    <row r="88" spans="1:2" x14ac:dyDescent="0.25">
      <c r="A88" s="7" t="s">
        <v>45</v>
      </c>
      <c r="B88" s="9">
        <v>4.875</v>
      </c>
    </row>
    <row r="89" spans="1:2" x14ac:dyDescent="0.25">
      <c r="A89" s="7" t="s">
        <v>46</v>
      </c>
      <c r="B89" s="9">
        <v>5.333333333333333</v>
      </c>
    </row>
    <row r="90" spans="1:2" x14ac:dyDescent="0.25">
      <c r="A90" s="7" t="s">
        <v>47</v>
      </c>
      <c r="B90" s="9">
        <v>4.125</v>
      </c>
    </row>
    <row r="91" spans="1:2" x14ac:dyDescent="0.25">
      <c r="A91" s="7" t="s">
        <v>48</v>
      </c>
      <c r="B91" s="9">
        <v>6</v>
      </c>
    </row>
    <row r="92" spans="1:2" x14ac:dyDescent="0.25">
      <c r="A92" s="7" t="s">
        <v>49</v>
      </c>
      <c r="B92" s="9">
        <v>4.3</v>
      </c>
    </row>
    <row r="93" spans="1:2" x14ac:dyDescent="0.25">
      <c r="A93" s="7" t="s">
        <v>50</v>
      </c>
      <c r="B93" s="9">
        <v>4.2</v>
      </c>
    </row>
    <row r="94" spans="1:2" x14ac:dyDescent="0.25">
      <c r="A94" s="7" t="s">
        <v>51</v>
      </c>
      <c r="B94" s="9">
        <v>6.8666666666666663</v>
      </c>
    </row>
    <row r="95" spans="1:2" x14ac:dyDescent="0.25">
      <c r="A95" s="7" t="s">
        <v>52</v>
      </c>
      <c r="B95" s="9">
        <v>6.2857142857142856</v>
      </c>
    </row>
    <row r="96" spans="1:2" x14ac:dyDescent="0.25">
      <c r="A96" s="7" t="s">
        <v>53</v>
      </c>
      <c r="B96" s="9">
        <v>4.0909090909090908</v>
      </c>
    </row>
    <row r="97" spans="1:3" x14ac:dyDescent="0.25">
      <c r="A97" s="7" t="s">
        <v>54</v>
      </c>
      <c r="B97" s="9">
        <v>4</v>
      </c>
    </row>
    <row r="98" spans="1:3" x14ac:dyDescent="0.25">
      <c r="A98" s="7" t="s">
        <v>55</v>
      </c>
      <c r="B98" s="9">
        <v>5.4285714285714288</v>
      </c>
    </row>
    <row r="99" spans="1:3" x14ac:dyDescent="0.25">
      <c r="A99" s="7" t="s">
        <v>56</v>
      </c>
      <c r="B99" s="9">
        <v>5.8</v>
      </c>
    </row>
    <row r="100" spans="1:3" x14ac:dyDescent="0.25">
      <c r="A100" s="7" t="s">
        <v>57</v>
      </c>
      <c r="B100" s="9">
        <v>4.5625</v>
      </c>
    </row>
    <row r="101" spans="1:3" x14ac:dyDescent="0.25">
      <c r="A101" s="7" t="s">
        <v>58</v>
      </c>
      <c r="B101" s="9">
        <v>4.5454545454545459</v>
      </c>
    </row>
    <row r="102" spans="1:3" x14ac:dyDescent="0.25">
      <c r="A102" s="7" t="s">
        <v>59</v>
      </c>
      <c r="B102" s="9">
        <v>5.75</v>
      </c>
    </row>
    <row r="103" spans="1:3" x14ac:dyDescent="0.25">
      <c r="A103" s="7" t="s">
        <v>60</v>
      </c>
      <c r="B103" s="9">
        <v>5.2</v>
      </c>
    </row>
    <row r="104" spans="1:3" x14ac:dyDescent="0.25">
      <c r="A104" s="7" t="s">
        <v>61</v>
      </c>
      <c r="B104" s="9">
        <v>7.25</v>
      </c>
    </row>
    <row r="105" spans="1:3" x14ac:dyDescent="0.25">
      <c r="A105" s="7" t="s">
        <v>62</v>
      </c>
      <c r="B105" s="9">
        <v>4.8</v>
      </c>
    </row>
    <row r="106" spans="1:3" x14ac:dyDescent="0.25">
      <c r="A106" s="7" t="s">
        <v>63</v>
      </c>
      <c r="B106" s="9">
        <v>4.5384615384615383</v>
      </c>
    </row>
    <row r="107" spans="1:3" x14ac:dyDescent="0.25">
      <c r="A107" s="7" t="s">
        <v>64</v>
      </c>
      <c r="B107" s="9">
        <v>4.5999999999999996</v>
      </c>
    </row>
    <row r="108" spans="1:3" x14ac:dyDescent="0.25">
      <c r="A108" s="7" t="s">
        <v>65</v>
      </c>
      <c r="B108" s="9">
        <v>5</v>
      </c>
    </row>
    <row r="109" spans="1:3" x14ac:dyDescent="0.25">
      <c r="A109" s="7" t="s">
        <v>66</v>
      </c>
      <c r="B109" s="9">
        <v>7</v>
      </c>
    </row>
    <row r="110" spans="1:3" x14ac:dyDescent="0.25">
      <c r="A110" s="7" t="s">
        <v>1</v>
      </c>
      <c r="B110" s="9">
        <v>5.1538461538461542</v>
      </c>
    </row>
    <row r="112" spans="1:3" x14ac:dyDescent="0.25">
      <c r="A112" s="8" t="s">
        <v>0</v>
      </c>
      <c r="B112" s="2" t="s">
        <v>8</v>
      </c>
      <c r="C112" t="s">
        <v>9</v>
      </c>
    </row>
    <row r="113" spans="1:4" x14ac:dyDescent="0.25">
      <c r="A113" s="7" t="s">
        <v>6</v>
      </c>
      <c r="B113" s="9">
        <v>495</v>
      </c>
      <c r="C113" s="6">
        <v>0.49549549549549549</v>
      </c>
    </row>
    <row r="114" spans="1:4" x14ac:dyDescent="0.25">
      <c r="A114" s="7" t="s">
        <v>7</v>
      </c>
      <c r="B114" s="9">
        <v>504</v>
      </c>
      <c r="C114" s="6">
        <v>0.50450450450450446</v>
      </c>
    </row>
    <row r="115" spans="1:4" x14ac:dyDescent="0.25">
      <c r="A115" s="7" t="s">
        <v>1</v>
      </c>
      <c r="B115" s="9">
        <v>999</v>
      </c>
      <c r="C115" s="6">
        <v>1</v>
      </c>
    </row>
    <row r="117" spans="1:4" x14ac:dyDescent="0.25">
      <c r="A117" s="15" t="s">
        <v>10</v>
      </c>
      <c r="B117" s="12" t="s">
        <v>11</v>
      </c>
      <c r="C117" s="12" t="s">
        <v>12</v>
      </c>
      <c r="D117" s="12"/>
    </row>
    <row r="118" spans="1:4" x14ac:dyDescent="0.25">
      <c r="A118" s="13" t="str">
        <f>A114</f>
        <v>Not Admitted</v>
      </c>
      <c r="B118" s="14">
        <f t="shared" ref="B118:C118" si="0">B114</f>
        <v>504</v>
      </c>
      <c r="C118" s="11">
        <f t="shared" si="0"/>
        <v>0.50450450450450446</v>
      </c>
      <c r="D118" s="10"/>
    </row>
    <row r="119" spans="1:4" x14ac:dyDescent="0.25">
      <c r="A119" s="13" t="str">
        <f>A113</f>
        <v>Admitted</v>
      </c>
      <c r="B119" s="14">
        <f t="shared" ref="B119:C119" si="1">B113</f>
        <v>495</v>
      </c>
      <c r="C119" s="11">
        <f t="shared" si="1"/>
        <v>0.49549549549549549</v>
      </c>
      <c r="D119" s="10"/>
    </row>
    <row r="121" spans="1:4" x14ac:dyDescent="0.25">
      <c r="A121" s="1" t="s">
        <v>0</v>
      </c>
      <c r="B121" t="s">
        <v>21</v>
      </c>
    </row>
    <row r="122" spans="1:4" x14ac:dyDescent="0.25">
      <c r="A122" s="2" t="s">
        <v>13</v>
      </c>
      <c r="B122" s="16">
        <v>136</v>
      </c>
    </row>
    <row r="123" spans="1:4" x14ac:dyDescent="0.25">
      <c r="A123" s="2" t="s">
        <v>14</v>
      </c>
      <c r="B123" s="16">
        <v>113</v>
      </c>
    </row>
    <row r="124" spans="1:4" x14ac:dyDescent="0.25">
      <c r="A124" s="2" t="s">
        <v>15</v>
      </c>
      <c r="B124" s="16">
        <v>131</v>
      </c>
    </row>
    <row r="125" spans="1:4" x14ac:dyDescent="0.25">
      <c r="A125" s="2" t="s">
        <v>16</v>
      </c>
      <c r="B125" s="16">
        <v>144</v>
      </c>
    </row>
    <row r="126" spans="1:4" x14ac:dyDescent="0.25">
      <c r="A126" s="2" t="s">
        <v>17</v>
      </c>
      <c r="B126" s="16">
        <v>121</v>
      </c>
    </row>
    <row r="127" spans="1:4" x14ac:dyDescent="0.25">
      <c r="A127" s="2" t="s">
        <v>18</v>
      </c>
      <c r="B127" s="16">
        <v>128</v>
      </c>
    </row>
    <row r="128" spans="1:4" x14ac:dyDescent="0.25">
      <c r="A128" s="2" t="s">
        <v>19</v>
      </c>
      <c r="B128" s="16">
        <v>119</v>
      </c>
    </row>
    <row r="129" spans="1:2" x14ac:dyDescent="0.25">
      <c r="A129" s="2" t="s">
        <v>20</v>
      </c>
      <c r="B129" s="16">
        <v>107</v>
      </c>
    </row>
    <row r="130" spans="1:2" x14ac:dyDescent="0.25">
      <c r="A130" s="2" t="s">
        <v>1</v>
      </c>
      <c r="B130" s="16">
        <v>999</v>
      </c>
    </row>
    <row r="131" spans="1:2" x14ac:dyDescent="0.25">
      <c r="A131"/>
      <c r="B131"/>
    </row>
    <row r="132" spans="1:2" x14ac:dyDescent="0.25">
      <c r="A132" s="1" t="s">
        <v>0</v>
      </c>
      <c r="B132" t="s">
        <v>24</v>
      </c>
    </row>
    <row r="133" spans="1:2" x14ac:dyDescent="0.25">
      <c r="A133" s="2" t="s">
        <v>22</v>
      </c>
      <c r="B133" s="16">
        <v>591</v>
      </c>
    </row>
    <row r="134" spans="1:2" x14ac:dyDescent="0.25">
      <c r="A134" s="2" t="s">
        <v>23</v>
      </c>
      <c r="B134" s="16">
        <v>408</v>
      </c>
    </row>
    <row r="135" spans="1:2" x14ac:dyDescent="0.25">
      <c r="A135" s="2" t="s">
        <v>1</v>
      </c>
      <c r="B135" s="16">
        <v>999</v>
      </c>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s="1" t="s">
        <v>0</v>
      </c>
      <c r="B142" t="s">
        <v>27</v>
      </c>
    </row>
    <row r="143" spans="1:2" x14ac:dyDescent="0.25">
      <c r="A143" s="2" t="s">
        <v>25</v>
      </c>
      <c r="B143" s="16">
        <v>515</v>
      </c>
    </row>
    <row r="144" spans="1:2" x14ac:dyDescent="0.25">
      <c r="A144" s="2" t="s">
        <v>26</v>
      </c>
      <c r="B144" s="16">
        <v>484</v>
      </c>
    </row>
    <row r="145" spans="1:2" x14ac:dyDescent="0.25">
      <c r="A145" s="2" t="s">
        <v>1</v>
      </c>
      <c r="B145" s="16">
        <v>999</v>
      </c>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s="1" t="s">
        <v>0</v>
      </c>
      <c r="B154" t="s">
        <v>35</v>
      </c>
    </row>
    <row r="155" spans="1:2" x14ac:dyDescent="0.25">
      <c r="A155" s="2" t="s">
        <v>34</v>
      </c>
      <c r="B155" s="16">
        <v>9</v>
      </c>
    </row>
    <row r="156" spans="1:2" x14ac:dyDescent="0.25">
      <c r="A156" s="2" t="s">
        <v>29</v>
      </c>
      <c r="B156" s="16">
        <v>20</v>
      </c>
    </row>
    <row r="157" spans="1:2" x14ac:dyDescent="0.25">
      <c r="A157" s="2" t="s">
        <v>28</v>
      </c>
      <c r="B157" s="16">
        <v>23</v>
      </c>
    </row>
    <row r="158" spans="1:2" x14ac:dyDescent="0.25">
      <c r="A158" s="2" t="s">
        <v>31</v>
      </c>
      <c r="B158" s="16">
        <v>27</v>
      </c>
    </row>
    <row r="159" spans="1:2" x14ac:dyDescent="0.25">
      <c r="A159" s="2" t="s">
        <v>33</v>
      </c>
      <c r="B159" s="16">
        <v>35</v>
      </c>
    </row>
    <row r="160" spans="1:2" x14ac:dyDescent="0.25">
      <c r="A160" s="2" t="s">
        <v>32</v>
      </c>
      <c r="B160" s="16">
        <v>86</v>
      </c>
    </row>
    <row r="161" spans="1:4" x14ac:dyDescent="0.25">
      <c r="A161" s="2" t="s">
        <v>30</v>
      </c>
      <c r="B161" s="16">
        <v>195</v>
      </c>
    </row>
    <row r="162" spans="1:4" x14ac:dyDescent="0.25">
      <c r="A162" s="2"/>
      <c r="B162" s="16">
        <v>604</v>
      </c>
    </row>
    <row r="163" spans="1:4" x14ac:dyDescent="0.25">
      <c r="A163" s="2" t="s">
        <v>1</v>
      </c>
      <c r="B163" s="16">
        <v>999</v>
      </c>
    </row>
    <row r="164" spans="1:4" x14ac:dyDescent="0.25">
      <c r="A164"/>
      <c r="B164"/>
    </row>
    <row r="165" spans="1:4" x14ac:dyDescent="0.25">
      <c r="A165"/>
      <c r="B165"/>
    </row>
    <row r="166" spans="1:4" x14ac:dyDescent="0.25">
      <c r="A166"/>
      <c r="B166"/>
    </row>
    <row r="167" spans="1:4" x14ac:dyDescent="0.25">
      <c r="A167"/>
      <c r="B167"/>
    </row>
    <row r="168" spans="1:4" x14ac:dyDescent="0.25">
      <c r="A168" s="1" t="s">
        <v>0</v>
      </c>
      <c r="B168"/>
      <c r="D168"/>
    </row>
    <row r="169" spans="1:4" x14ac:dyDescent="0.25">
      <c r="A169" s="2" t="s">
        <v>5</v>
      </c>
      <c r="B169"/>
      <c r="D169"/>
    </row>
    <row r="170" spans="1:4" x14ac:dyDescent="0.25">
      <c r="A170" s="2" t="s">
        <v>1</v>
      </c>
      <c r="B170"/>
      <c r="D170"/>
    </row>
    <row r="171" spans="1:4" x14ac:dyDescent="0.25">
      <c r="A171"/>
      <c r="B171"/>
      <c r="D171"/>
    </row>
    <row r="172" spans="1:4" x14ac:dyDescent="0.25">
      <c r="A172"/>
      <c r="B172"/>
      <c r="D172"/>
    </row>
    <row r="173" spans="1:4" x14ac:dyDescent="0.25">
      <c r="A173"/>
      <c r="B173"/>
      <c r="D173"/>
    </row>
    <row r="174" spans="1:4" x14ac:dyDescent="0.25">
      <c r="A174"/>
      <c r="B174"/>
      <c r="D174"/>
    </row>
    <row r="175" spans="1:4" x14ac:dyDescent="0.25">
      <c r="A175"/>
      <c r="B175"/>
    </row>
    <row r="176" spans="1:4" x14ac:dyDescent="0.25">
      <c r="A176"/>
      <c r="B176"/>
    </row>
    <row r="177" spans="1:2" x14ac:dyDescent="0.25">
      <c r="A177"/>
      <c r="B177"/>
    </row>
    <row r="178" spans="1:2" x14ac:dyDescent="0.25">
      <c r="A178"/>
      <c r="B178"/>
    </row>
    <row r="179" spans="1:2" x14ac:dyDescent="0.25">
      <c r="A179"/>
      <c r="B179"/>
    </row>
    <row r="180" spans="1:2" x14ac:dyDescent="0.25">
      <c r="A180"/>
      <c r="B180"/>
    </row>
    <row r="181" spans="1:2" x14ac:dyDescent="0.25">
      <c r="A181"/>
      <c r="B181"/>
    </row>
    <row r="182" spans="1:2" x14ac:dyDescent="0.25">
      <c r="A182"/>
      <c r="B182"/>
    </row>
    <row r="183" spans="1:2" x14ac:dyDescent="0.25">
      <c r="A183"/>
      <c r="B183"/>
    </row>
    <row r="184" spans="1:2" x14ac:dyDescent="0.25">
      <c r="A184"/>
      <c r="B184"/>
    </row>
    <row r="185" spans="1:2" x14ac:dyDescent="0.25">
      <c r="A185"/>
      <c r="B185"/>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F40AC-AAB6-438E-AFCB-5D8358A9D71A}">
  <dimension ref="A1:U23"/>
  <sheetViews>
    <sheetView showGridLines="0" showRowColHeaders="0" tabSelected="1" zoomScaleNormal="100" workbookViewId="0">
      <selection activeCell="J26" sqref="J26"/>
    </sheetView>
  </sheetViews>
  <sheetFormatPr defaultRowHeight="15" x14ac:dyDescent="0.25"/>
  <sheetData>
    <row r="1" spans="1:21" x14ac:dyDescent="0.25">
      <c r="A1" s="4"/>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5"/>
      <c r="B3" s="5"/>
      <c r="C3" s="5"/>
      <c r="D3" s="5"/>
      <c r="E3" s="5"/>
      <c r="F3" s="5"/>
      <c r="G3" s="5"/>
      <c r="H3" s="5"/>
      <c r="I3" s="5"/>
      <c r="J3" s="5"/>
      <c r="K3" s="5"/>
      <c r="L3" s="5"/>
      <c r="M3" s="5"/>
      <c r="N3" s="5"/>
      <c r="O3" s="5"/>
      <c r="P3" s="5"/>
      <c r="Q3" s="5"/>
      <c r="R3" s="5"/>
      <c r="S3" s="5"/>
      <c r="T3" s="5"/>
      <c r="U3" s="5"/>
    </row>
    <row r="4" spans="1:21" x14ac:dyDescent="0.25">
      <c r="A4" s="5"/>
      <c r="B4" s="5"/>
      <c r="C4" s="5"/>
      <c r="D4" s="5"/>
      <c r="E4" s="5"/>
      <c r="F4" s="5"/>
      <c r="G4" s="5"/>
      <c r="H4" s="5"/>
      <c r="I4" s="5"/>
      <c r="J4" s="5"/>
      <c r="K4" s="5"/>
      <c r="L4" s="5"/>
      <c r="M4" s="5"/>
      <c r="N4" s="5"/>
      <c r="O4" s="5"/>
      <c r="P4" s="5"/>
      <c r="Q4" s="5"/>
      <c r="R4" s="5"/>
      <c r="S4" s="5"/>
      <c r="T4" s="5"/>
      <c r="U4" s="5"/>
    </row>
    <row r="5" spans="1:21" x14ac:dyDescent="0.25">
      <c r="A5" s="5"/>
      <c r="B5" s="5"/>
      <c r="C5" s="5"/>
      <c r="D5" s="5"/>
      <c r="E5" s="5"/>
      <c r="F5" s="5"/>
      <c r="G5" s="5"/>
      <c r="H5" s="5"/>
      <c r="I5" s="5"/>
      <c r="J5" s="5"/>
      <c r="K5" s="5"/>
      <c r="L5" s="5"/>
      <c r="M5" s="5"/>
      <c r="N5" s="5"/>
      <c r="O5" s="5"/>
      <c r="P5" s="5"/>
      <c r="Q5" s="5"/>
      <c r="R5" s="5"/>
      <c r="S5" s="5"/>
      <c r="T5" s="5"/>
      <c r="U5" s="5"/>
    </row>
    <row r="6" spans="1:21" x14ac:dyDescent="0.25">
      <c r="A6" s="5"/>
      <c r="B6" s="5"/>
      <c r="C6" s="5"/>
      <c r="D6" s="5"/>
      <c r="E6" s="5"/>
      <c r="F6" s="5"/>
      <c r="G6" s="5"/>
      <c r="H6" s="5"/>
      <c r="I6" s="5"/>
      <c r="J6" s="5"/>
      <c r="K6" s="5"/>
      <c r="L6" s="5"/>
      <c r="M6" s="5"/>
      <c r="N6" s="5"/>
      <c r="O6" s="5"/>
      <c r="P6" s="5"/>
      <c r="Q6" s="5"/>
      <c r="R6" s="5"/>
      <c r="S6" s="5"/>
      <c r="T6" s="5"/>
      <c r="U6" s="5"/>
    </row>
    <row r="7" spans="1:21" x14ac:dyDescent="0.25">
      <c r="A7" s="5"/>
      <c r="B7" s="5"/>
      <c r="C7" s="5"/>
      <c r="D7" s="5"/>
      <c r="E7" s="5"/>
      <c r="F7" s="5"/>
      <c r="G7" s="5"/>
      <c r="H7" s="5"/>
      <c r="I7" s="5"/>
      <c r="J7" s="5"/>
      <c r="K7" s="5"/>
      <c r="L7" s="5"/>
      <c r="M7" s="5"/>
      <c r="N7" s="5"/>
      <c r="O7" s="5"/>
      <c r="P7" s="5"/>
      <c r="Q7" s="5"/>
      <c r="R7" s="5"/>
      <c r="S7" s="5"/>
      <c r="T7" s="5"/>
      <c r="U7" s="5"/>
    </row>
    <row r="8" spans="1:21" x14ac:dyDescent="0.25">
      <c r="A8" s="5"/>
      <c r="B8" s="5"/>
      <c r="C8" s="5"/>
      <c r="D8" s="5"/>
      <c r="E8" s="5"/>
      <c r="F8" s="5"/>
      <c r="G8" s="5"/>
      <c r="H8" s="5"/>
      <c r="I8" s="5"/>
      <c r="J8" s="5"/>
      <c r="K8" s="5"/>
      <c r="L8" s="5"/>
      <c r="M8" s="5"/>
      <c r="N8" s="5"/>
      <c r="O8" s="5"/>
      <c r="P8" s="5"/>
      <c r="Q8" s="5"/>
      <c r="R8" s="5"/>
      <c r="S8" s="5"/>
      <c r="T8" s="5"/>
      <c r="U8" s="5"/>
    </row>
    <row r="9" spans="1:21" x14ac:dyDescent="0.25">
      <c r="A9" s="5"/>
      <c r="B9" s="5"/>
      <c r="C9" s="5"/>
      <c r="D9" s="5"/>
      <c r="E9" s="5"/>
      <c r="F9" s="5"/>
      <c r="G9" s="5"/>
      <c r="H9" s="5"/>
      <c r="I9" s="5"/>
      <c r="J9" s="5"/>
      <c r="K9" s="5"/>
      <c r="L9" s="5"/>
      <c r="M9" s="5"/>
      <c r="N9" s="5"/>
      <c r="O9" s="5"/>
      <c r="P9" s="5"/>
      <c r="Q9" s="5"/>
      <c r="R9" s="5"/>
      <c r="S9" s="5"/>
      <c r="T9" s="5"/>
      <c r="U9" s="5"/>
    </row>
    <row r="10" spans="1:21" x14ac:dyDescent="0.25">
      <c r="A10" s="5"/>
      <c r="B10" s="5"/>
      <c r="C10" s="5"/>
      <c r="D10" s="5"/>
      <c r="E10" s="5"/>
      <c r="F10" s="5"/>
      <c r="G10" s="5"/>
      <c r="H10" s="5"/>
      <c r="I10" s="5"/>
      <c r="J10" s="5"/>
      <c r="K10" s="5"/>
      <c r="L10" s="5"/>
      <c r="M10" s="5"/>
      <c r="N10" s="5"/>
      <c r="O10" s="5"/>
      <c r="P10" s="5"/>
      <c r="Q10" s="5"/>
      <c r="R10" s="5"/>
      <c r="S10" s="5"/>
      <c r="T10" s="5"/>
      <c r="U10" s="5"/>
    </row>
    <row r="11" spans="1:21" x14ac:dyDescent="0.25">
      <c r="A11" s="5"/>
      <c r="B11" s="5"/>
      <c r="C11" s="5"/>
      <c r="D11" s="5"/>
      <c r="E11" s="5"/>
      <c r="F11" s="5"/>
      <c r="G11" s="5"/>
      <c r="H11" s="5"/>
      <c r="I11" s="5"/>
      <c r="J11" s="5"/>
      <c r="K11" s="5"/>
      <c r="L11" s="5"/>
      <c r="M11" s="5"/>
      <c r="N11" s="5"/>
      <c r="O11" s="5"/>
      <c r="P11" s="5"/>
      <c r="Q11" s="5"/>
      <c r="R11" s="5"/>
      <c r="S11" s="5"/>
      <c r="T11" s="5"/>
      <c r="U11" s="5"/>
    </row>
    <row r="12" spans="1:21" x14ac:dyDescent="0.25">
      <c r="A12" s="5"/>
      <c r="B12" s="5"/>
      <c r="C12" s="5"/>
      <c r="D12" s="5"/>
      <c r="E12" s="5"/>
      <c r="F12" s="5"/>
      <c r="G12" s="5"/>
      <c r="H12" s="5"/>
      <c r="I12" s="5"/>
      <c r="J12" s="5"/>
      <c r="K12" s="5"/>
      <c r="L12" s="5"/>
      <c r="M12" s="5"/>
      <c r="N12" s="5"/>
      <c r="O12" s="5"/>
      <c r="P12" s="5"/>
      <c r="Q12" s="5"/>
      <c r="R12" s="5"/>
      <c r="S12" s="5"/>
      <c r="T12" s="5"/>
      <c r="U12" s="5"/>
    </row>
    <row r="13" spans="1:21" x14ac:dyDescent="0.25">
      <c r="A13" s="5"/>
      <c r="B13" s="5"/>
      <c r="C13" s="5"/>
      <c r="D13" s="5"/>
      <c r="E13" s="5"/>
      <c r="F13" s="5"/>
      <c r="G13" s="5"/>
      <c r="H13" s="5"/>
      <c r="I13" s="5"/>
      <c r="J13" s="5"/>
      <c r="K13" s="5"/>
      <c r="L13" s="5"/>
      <c r="M13" s="5"/>
      <c r="N13" s="5"/>
      <c r="O13" s="5"/>
      <c r="P13" s="5"/>
      <c r="Q13" s="5"/>
      <c r="R13" s="5"/>
      <c r="S13" s="5"/>
      <c r="T13" s="5"/>
      <c r="U13" s="5"/>
    </row>
    <row r="14" spans="1:21" x14ac:dyDescent="0.25">
      <c r="A14" s="5"/>
      <c r="B14" s="5"/>
      <c r="C14" s="5"/>
      <c r="D14" s="5"/>
      <c r="E14" s="5"/>
      <c r="F14" s="5"/>
      <c r="G14" s="5"/>
      <c r="H14" s="5"/>
      <c r="I14" s="5"/>
      <c r="J14" s="5"/>
      <c r="K14" s="5"/>
      <c r="L14" s="5"/>
      <c r="M14" s="5"/>
      <c r="N14" s="5"/>
      <c r="O14" s="5"/>
      <c r="P14" s="5"/>
      <c r="Q14" s="5"/>
      <c r="R14" s="5"/>
      <c r="S14" s="5"/>
      <c r="T14" s="5"/>
      <c r="U14" s="5"/>
    </row>
    <row r="15" spans="1:21" x14ac:dyDescent="0.25">
      <c r="A15" s="5"/>
      <c r="B15" s="5"/>
      <c r="C15" s="5"/>
      <c r="D15" s="5"/>
      <c r="E15" s="5"/>
      <c r="F15" s="5"/>
      <c r="G15" s="5"/>
      <c r="H15" s="5"/>
      <c r="I15" s="5"/>
      <c r="J15" s="5"/>
      <c r="K15" s="5"/>
      <c r="L15" s="5"/>
      <c r="M15" s="5"/>
      <c r="N15" s="5"/>
      <c r="O15" s="5"/>
      <c r="P15" s="5"/>
      <c r="Q15" s="5"/>
      <c r="R15" s="5"/>
      <c r="S15" s="5"/>
      <c r="T15" s="5"/>
      <c r="U15" s="5"/>
    </row>
    <row r="16" spans="1:21" x14ac:dyDescent="0.25">
      <c r="A16" s="5"/>
      <c r="B16" s="5"/>
      <c r="C16" s="5"/>
      <c r="D16" s="5"/>
      <c r="E16" s="5"/>
      <c r="F16" s="5"/>
      <c r="G16" s="5"/>
      <c r="H16" s="5"/>
      <c r="I16" s="5"/>
      <c r="J16" s="5"/>
      <c r="K16" s="5"/>
      <c r="L16" s="5"/>
      <c r="M16" s="5"/>
      <c r="N16" s="5"/>
      <c r="O16" s="5"/>
      <c r="P16" s="5"/>
      <c r="Q16" s="5"/>
      <c r="R16" s="5"/>
      <c r="S16" s="5"/>
      <c r="T16" s="5"/>
      <c r="U16" s="5"/>
    </row>
    <row r="17" spans="1:21" x14ac:dyDescent="0.25">
      <c r="A17" s="5"/>
      <c r="B17" s="5"/>
      <c r="C17" s="5"/>
      <c r="D17" s="5"/>
      <c r="E17" s="5"/>
      <c r="F17" s="5"/>
      <c r="G17" s="5"/>
      <c r="H17" s="5"/>
      <c r="I17" s="5"/>
      <c r="J17" s="5"/>
      <c r="K17" s="5"/>
      <c r="L17" s="5"/>
      <c r="M17" s="5"/>
      <c r="N17" s="5"/>
      <c r="O17" s="5"/>
      <c r="P17" s="5"/>
      <c r="Q17" s="5"/>
      <c r="R17" s="5"/>
      <c r="S17" s="5"/>
      <c r="T17" s="5"/>
      <c r="U17" s="5"/>
    </row>
    <row r="18" spans="1:21" x14ac:dyDescent="0.25">
      <c r="A18" s="5"/>
      <c r="B18" s="5"/>
      <c r="C18" s="5"/>
      <c r="D18" s="5"/>
      <c r="E18" s="5"/>
      <c r="F18" s="5"/>
      <c r="G18" s="5"/>
      <c r="H18" s="5"/>
      <c r="I18" s="5"/>
      <c r="J18" s="5"/>
      <c r="K18" s="5"/>
      <c r="L18" s="5"/>
      <c r="M18" s="5"/>
      <c r="N18" s="5"/>
      <c r="O18" s="5"/>
      <c r="P18" s="5"/>
      <c r="Q18" s="5"/>
      <c r="R18" s="5"/>
      <c r="S18" s="5"/>
      <c r="T18" s="5"/>
      <c r="U18" s="5"/>
    </row>
    <row r="19" spans="1:21" x14ac:dyDescent="0.25">
      <c r="A19" s="5"/>
      <c r="B19" s="5"/>
      <c r="C19" s="5"/>
      <c r="D19" s="5"/>
      <c r="E19" s="5"/>
      <c r="F19" s="5"/>
      <c r="G19" s="5"/>
      <c r="H19" s="5"/>
      <c r="I19" s="5"/>
      <c r="J19" s="5"/>
      <c r="K19" s="5"/>
      <c r="L19" s="5"/>
      <c r="M19" s="5"/>
      <c r="N19" s="5"/>
      <c r="O19" s="5"/>
      <c r="P19" s="5"/>
      <c r="Q19" s="5"/>
      <c r="R19" s="5"/>
      <c r="S19" s="5"/>
      <c r="T19" s="5"/>
      <c r="U19" s="5"/>
    </row>
    <row r="20" spans="1:21" x14ac:dyDescent="0.25">
      <c r="A20" s="5"/>
      <c r="B20" s="5"/>
      <c r="C20" s="5"/>
      <c r="D20" s="5"/>
      <c r="E20" s="5"/>
      <c r="F20" s="5"/>
      <c r="G20" s="5"/>
      <c r="H20" s="5"/>
      <c r="I20" s="5"/>
      <c r="J20" s="5"/>
      <c r="K20" s="5"/>
      <c r="L20" s="5"/>
      <c r="M20" s="5"/>
      <c r="N20" s="5"/>
      <c r="O20" s="5"/>
      <c r="P20" s="5"/>
      <c r="Q20" s="5"/>
      <c r="R20" s="5"/>
      <c r="S20" s="5"/>
      <c r="T20" s="5"/>
      <c r="U20" s="5"/>
    </row>
    <row r="21" spans="1:21" x14ac:dyDescent="0.25">
      <c r="A21" s="5"/>
      <c r="B21" s="5"/>
      <c r="C21" s="5"/>
      <c r="D21" s="5"/>
      <c r="E21" s="5"/>
      <c r="F21" s="5"/>
      <c r="G21" s="5"/>
      <c r="H21" s="5"/>
      <c r="I21" s="5"/>
      <c r="J21" s="5"/>
      <c r="K21" s="5"/>
      <c r="L21" s="5"/>
      <c r="M21" s="5"/>
      <c r="N21" s="5"/>
      <c r="O21" s="5"/>
      <c r="P21" s="5"/>
      <c r="Q21" s="5"/>
      <c r="R21" s="5"/>
      <c r="S21" s="5"/>
      <c r="T21" s="5"/>
      <c r="U21" s="5"/>
    </row>
    <row r="22" spans="1:21" x14ac:dyDescent="0.25">
      <c r="A22" s="5"/>
      <c r="B22" s="5"/>
      <c r="C22" s="5"/>
      <c r="D22" s="5"/>
      <c r="E22" s="5"/>
      <c r="F22" s="5"/>
      <c r="G22" s="5"/>
      <c r="H22" s="5"/>
      <c r="I22" s="5"/>
      <c r="J22" s="5"/>
      <c r="K22" s="5"/>
      <c r="L22" s="5"/>
      <c r="M22" s="5"/>
      <c r="N22" s="5"/>
      <c r="O22" s="5"/>
      <c r="P22" s="5"/>
      <c r="Q22" s="5"/>
      <c r="R22" s="5"/>
      <c r="S22" s="5"/>
      <c r="T22" s="5"/>
      <c r="U22" s="5"/>
    </row>
    <row r="23" spans="1:21" x14ac:dyDescent="0.25">
      <c r="A23" s="5"/>
      <c r="B23" s="5"/>
      <c r="C23" s="5"/>
      <c r="D23" s="5"/>
      <c r="E23" s="5"/>
      <c r="F23" s="5"/>
      <c r="G23" s="5"/>
      <c r="H23" s="5"/>
      <c r="I23" s="5"/>
      <c r="J23" s="5"/>
      <c r="K23" s="5"/>
      <c r="L23" s="5"/>
      <c r="M23" s="5"/>
      <c r="N23" s="5"/>
      <c r="O23" s="5"/>
      <c r="P23" s="5"/>
      <c r="Q23" s="5"/>
      <c r="R23" s="5"/>
      <c r="S23" s="5"/>
      <c r="T23" s="5"/>
      <c r="U2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54C7296-860B-4B01-9028-2581913BB1F7}">
  <ds:schemaRefs/>
</ds:datastoreItem>
</file>

<file path=customXml/itemProps2.xml><?xml version="1.0" encoding="utf-8"?>
<ds:datastoreItem xmlns:ds="http://schemas.openxmlformats.org/officeDocument/2006/customXml" ds:itemID="{F313382B-F198-4626-A267-456EF5A8C6D8}">
  <ds:schemaRefs/>
</ds:datastoreItem>
</file>

<file path=customXml/itemProps3.xml><?xml version="1.0" encoding="utf-8"?>
<ds:datastoreItem xmlns:ds="http://schemas.openxmlformats.org/officeDocument/2006/customXml" ds:itemID="{59CBBE02-CFD4-4637-A1FB-26DBF7F1AC8D}">
  <ds:schemaRefs/>
</ds:datastoreItem>
</file>

<file path=customXml/itemProps4.xml><?xml version="1.0" encoding="utf-8"?>
<ds:datastoreItem xmlns:ds="http://schemas.openxmlformats.org/officeDocument/2006/customXml" ds:itemID="{CA0491C0-95FC-463F-A0EB-D104BC433E13}">
  <ds:schemaRefs/>
</ds:datastoreItem>
</file>

<file path=customXml/itemProps5.xml><?xml version="1.0" encoding="utf-8"?>
<ds:datastoreItem xmlns:ds="http://schemas.openxmlformats.org/officeDocument/2006/customXml" ds:itemID="{1EA8CF9F-33C7-4F9D-B598-9EAF42387D77}">
  <ds:schemaRefs/>
</ds:datastoreItem>
</file>

<file path=customXml/itemProps6.xml><?xml version="1.0" encoding="utf-8"?>
<ds:datastoreItem xmlns:ds="http://schemas.openxmlformats.org/officeDocument/2006/customXml" ds:itemID="{EEE39880-1D47-4D17-B5C9-15E567F759FF}">
  <ds:schemaRefs/>
</ds:datastoreItem>
</file>

<file path=customXml/itemProps7.xml><?xml version="1.0" encoding="utf-8"?>
<ds:datastoreItem xmlns:ds="http://schemas.openxmlformats.org/officeDocument/2006/customXml" ds:itemID="{194176CE-718E-40DD-AAFF-E5E2EE587705}">
  <ds:schemaRefs/>
</ds:datastoreItem>
</file>

<file path=customXml/itemProps8.xml><?xml version="1.0" encoding="utf-8"?>
<ds:datastoreItem xmlns:ds="http://schemas.openxmlformats.org/officeDocument/2006/customXml" ds:itemID="{3D24D785-249C-4F46-9455-D81373C8BAC8}">
  <ds:schemaRefs/>
</ds:datastoreItem>
</file>

<file path=customXml/itemProps9.xml><?xml version="1.0" encoding="utf-8"?>
<ds:datastoreItem xmlns:ds="http://schemas.openxmlformats.org/officeDocument/2006/customXml" ds:itemID="{9466B017-8021-494E-B9A6-C78C86DD4ED3}">
  <ds:schemaRefs/>
</ds:datastoreItem>
</file>

<file path=customXml/itemProps10.xml><?xml version="1.0" encoding="utf-8"?>
<ds:datastoreItem xmlns:ds="http://schemas.openxmlformats.org/officeDocument/2006/customXml" ds:itemID="{596830A7-1A21-4D64-AE8C-0E0C9866D1D1}">
  <ds:schemaRefs/>
</ds:datastoreItem>
</file>

<file path=customXml/itemProps11.xml><?xml version="1.0" encoding="utf-8"?>
<ds:datastoreItem xmlns:ds="http://schemas.openxmlformats.org/officeDocument/2006/customXml" ds:itemID="{3225BE42-1158-4C83-8FD0-0E265B3D4FC4}">
  <ds:schemaRefs/>
</ds:datastoreItem>
</file>

<file path=customXml/itemProps12.xml><?xml version="1.0" encoding="utf-8"?>
<ds:datastoreItem xmlns:ds="http://schemas.openxmlformats.org/officeDocument/2006/customXml" ds:itemID="{A3EC2AAE-E68E-4202-9DBF-5C85400C2BB5}">
  <ds:schemaRefs/>
</ds:datastoreItem>
</file>

<file path=customXml/itemProps13.xml><?xml version="1.0" encoding="utf-8"?>
<ds:datastoreItem xmlns:ds="http://schemas.openxmlformats.org/officeDocument/2006/customXml" ds:itemID="{DA5930E3-1EFD-49B3-A769-CE707EE9B012}">
  <ds:schemaRefs/>
</ds:datastoreItem>
</file>

<file path=customXml/itemProps14.xml><?xml version="1.0" encoding="utf-8"?>
<ds:datastoreItem xmlns:ds="http://schemas.openxmlformats.org/officeDocument/2006/customXml" ds:itemID="{091F5420-5577-411C-BBDB-1CD29D04EEE5}">
  <ds:schemaRefs/>
</ds:datastoreItem>
</file>

<file path=customXml/itemProps15.xml><?xml version="1.0" encoding="utf-8"?>
<ds:datastoreItem xmlns:ds="http://schemas.openxmlformats.org/officeDocument/2006/customXml" ds:itemID="{36EC85E7-6774-4B29-A5D5-C7BB449E986F}">
  <ds:schemaRefs/>
</ds:datastoreItem>
</file>

<file path=customXml/itemProps16.xml><?xml version="1.0" encoding="utf-8"?>
<ds:datastoreItem xmlns:ds="http://schemas.openxmlformats.org/officeDocument/2006/customXml" ds:itemID="{44118B20-5F61-4E53-82D3-AD339AF29359}">
  <ds:schemaRefs/>
</ds:datastoreItem>
</file>

<file path=customXml/itemProps17.xml><?xml version="1.0" encoding="utf-8"?>
<ds:datastoreItem xmlns:ds="http://schemas.openxmlformats.org/officeDocument/2006/customXml" ds:itemID="{7319DD0D-B1EE-4920-A448-269D8E282629}">
  <ds:schemaRefs/>
</ds:datastoreItem>
</file>

<file path=customXml/itemProps18.xml><?xml version="1.0" encoding="utf-8"?>
<ds:datastoreItem xmlns:ds="http://schemas.openxmlformats.org/officeDocument/2006/customXml" ds:itemID="{7F08D894-6D1B-437F-9246-18BD029780C1}">
  <ds:schemaRefs/>
</ds:datastoreItem>
</file>

<file path=customXml/itemProps19.xml><?xml version="1.0" encoding="utf-8"?>
<ds:datastoreItem xmlns:ds="http://schemas.openxmlformats.org/officeDocument/2006/customXml" ds:itemID="{4A453BF0-859B-4997-8373-78A1FE6DF5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siddiqui mohd nasrullah</dc:creator>
  <cp:lastModifiedBy>siddiqui mohd nasrullah</cp:lastModifiedBy>
  <dcterms:created xsi:type="dcterms:W3CDTF">2026-02-06T15:55:28Z</dcterms:created>
  <dcterms:modified xsi:type="dcterms:W3CDTF">2026-02-07T14:44:55Z</dcterms:modified>
</cp:coreProperties>
</file>